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  <sheet sheetId="3" name="Flujo" state="visible" r:id="rId6"/>
  </sheets>
  <definedNames>
    <definedName name="ListaNombres">OFFSET('Movimientos'!$F$6,0,0,MAX(COUNTA('Movimientos'!$F$6:$F$17),1),1)</definedName>
    <definedName name="_xlnm.Print_Area" localSheetId="0">'Movimientos'!$A1:$O25</definedName>
    <definedName name="_xlnm.Print_Titles" localSheetId="0">'Movimientos'!$1:$5</definedName>
    <definedName name="_xlnm.Print_Area" localSheetId="1">'Gráficos'!$A1:$O17</definedName>
    <definedName name="_xlnm.Print_Area" localSheetId="2">'Flujo'!$A1:$O29</definedName>
  </definedNames>
  <calcPr calcId="171027" fullCalcOnLoad="1"/>
</workbook>
</file>

<file path=xl/sharedStrings.xml><?xml version="1.0" encoding="utf-8"?>
<sst xmlns="http://schemas.openxmlformats.org/spreadsheetml/2006/main" count="103" uniqueCount="52">
  <si>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</si>
  <si>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</si>
  <si>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</si>
  <si>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</si>
  <si>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</si>
  <si>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</si>
  <si>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</si>
  <si>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</si>
  <si>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</si>
  <si>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</si>
  <si>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</si>
  <si>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</si>
  <si>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</si>
  <si>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</si>
  <si>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</si>
  <si>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</si>
  <si>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</si>
  <si>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</si>
  <si>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</si>
  <si>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</si>
  <si>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Vanguard Global Stock Index</t>
  </si>
  <si>
    <t>Marta</t>
  </si>
  <si>
    <t>Fidelity MSCI World Index</t>
  </si>
  <si>
    <t>Fondo indexado</t>
  </si>
  <si>
    <t>iShares Developed World Index</t>
  </si>
  <si>
    <t>Cartera indexada Metal</t>
  </si>
  <si>
    <t>Depósito 12 meses</t>
  </si>
  <si>
    <t>Plan de pensiones indexado</t>
  </si>
  <si>
    <t>Cuenta ahorro · ING</t>
  </si>
  <si>
    <t>Fondo ahorro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</si>
  <si>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</si>
  <si>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</si>
  <si>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</si>
  <si>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</si>
  <si>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En las inversiones se escribe la rentabilidad en % (la celda amarilla, como en la app) y el saldo se calcula solo. «Exterior» es el dinero que entra o sale de fuera. La hoja está protegida: solo se puede escribir en los movimientos, en las filas nuevas y en el %.</t>
  </si>
  <si>
    <t>Gráficos</t>
  </si>
  <si>
    <t>Todo sale de la hoja «Movimientos»: lo que cambies allí, cambia aquí.</t>
  </si>
  <si>
    <t>Flujo del dinero: de dónde llega, por dónde pasa y a dónde va</t>
  </si>
  <si>
    <t>Se dibuja con los movimientos de hoy: vuelve a descargar el Excel para tenerlo al día.</t>
  </si>
  <si>
    <t>De dónde llega</t>
  </si>
  <si>
    <t>Por dónde pasa</t>
  </si>
  <si>
    <t>A dónde va</t>
  </si>
  <si>
    <t>1000,00 €   ▶</t>
  </si>
  <si>
    <t>400,00 €   ▶</t>
  </si>
  <si>
    <t>300,00 €   ▶</t>
  </si>
  <si>
    <t>200,00 €   ▶</t>
  </si>
  <si>
    <t>150,00 €   ▶</t>
  </si>
  <si>
    <t>▶</t>
  </si>
  <si>
    <t>Movimientos, uno a uno</t>
  </si>
  <si>
    <t>De</t>
  </si>
  <si>
    <t>A</t>
  </si>
  <si>
    <t>Total de los 5 movimientos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</si>
</sst>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2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b/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64748B"/>
      <sz val="10"/>
    </font>
    <font>
      <b/>
      <color rgb="FF1D4ED8"/>
      <sz val="12"/>
    </font>
    <font>
      <b/>
      <color rgb="FF94A3B8"/>
      <sz val="12"/>
    </font>
    <font>
      <b/>
      <color rgb="FF0F172A"/>
      <sz val="12"/>
    </font>
  </fonts>
  <fills count="8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64748B"/>
      </patternFill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/>
    <xf numFmtId="0" fontId="8" fillId="0" borderId="1" xfId="0" applyFont="1" applyBorder="1" applyAlignment="1">
      <alignment indent="1"/>
    </xf>
    <xf numFmtId="166" fontId="8" fillId="0" borderId="1" xfId="0" applyNumberFormat="1" applyFont="1" applyBorder="1" applyProtection="1">
      <protection locked="0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6" fontId="11" fillId="0" borderId="1" xfId="0" applyNumberFormat="1" applyFont="1" applyBorder="1"/>
    <xf numFmtId="0" fontId="13" fillId="0" borderId="1" xfId="0" applyFont="1" applyBorder="1" applyAlignment="1"/>
    <xf numFmtId="165" fontId="13" fillId="0" borderId="1" xfId="0" applyNumberFormat="1" applyFont="1" applyBorder="1"/>
    <xf numFmtId="166" fontId="13" fillId="0" borderId="1" xfId="0" applyNumberFormat="1" applyFont="1" applyBorder="1" applyProtection="1">
      <protection locked="0"/>
    </xf>
    <xf numFmtId="0" fontId="14" fillId="0" borderId="0" xfId="0" applyFont="1" applyAlignment="1" applyProtection="1">
      <alignment indent="1"/>
      <protection locked="0"/>
    </xf>
    <xf numFmtId="0" fontId="15" fillId="0" borderId="0" xfId="0" applyFont="1" applyAlignment="1" applyProtection="1">
      <alignment horizontal="center"/>
      <protection locked="0"/>
    </xf>
    <xf numFmtId="165" fontId="14" fillId="0" borderId="0" xfId="0" applyNumberFormat="1" applyFont="1"/>
    <xf numFmtId="166" fontId="14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6" fillId="4" borderId="0" xfId="0" applyNumberFormat="1" applyFont="1" applyFill="1" applyAlignment="1">
      <alignment horizontal="right"/>
    </xf>
    <xf numFmtId="166" fontId="16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1" fillId="0" borderId="0" xfId="0" applyFont="1" applyAlignment="1">
      <alignment vertical="center"/>
    </xf>
    <xf numFmtId="0" fontId="7" fillId="4" borderId="0" xfId="0" applyFont="1" applyFill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5" fontId="10" fillId="0" borderId="1" xfId="0" applyNumberFormat="1" applyFont="1" applyBorder="1" applyAlignment="1">
      <alignment horizontal="right" vertical="center"/>
    </xf>
    <xf numFmtId="0" fontId="10" fillId="0" borderId="0" xfId="0" applyFont="1" applyAlignment="1">
      <alignment horizontal="right" vertical="center"/>
    </xf>
    <xf numFmtId="165" fontId="10" fillId="4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13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Movimientos!$H$19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Movimientos!$J$19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Movimientos!$K$19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Movimientos!$H$20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Movimientos!$J$20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Movimientos!$K$20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4</xdr:col>
      <xdr:colOff>0</xdr:colOff>
      <xdr:row>14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</xdr:row>
      <xdr:rowOff>0</xdr:rowOff>
    </xdr:from>
    <xdr:to>
      <xdr:col>10</xdr:col>
      <xdr:colOff>0</xdr:colOff>
      <xdr:row>14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46297</v>
      </c>
      <c r="B7" s="10" t="s">
        <v>19</v>
      </c>
      <c r="C7" s="10" t="s">
        <v>20</v>
      </c>
      <c r="D7" s="11">
        <v>300</v>
      </c>
      <c r="F7" s="14" t="s">
        <v>19</v>
      </c>
      <c r="G7" s="15" t="s">
        <v>21</v>
      </c>
      <c r="H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Myinvestor")&lt;=0,SUMPRODUCT(--($H8:$H12&lt;&gt;""))=0),"",SUMIFS($D$6:$D$505,$C$6:$C$505,"Cuenta Myinvestor")-SUMIFS($D$6:$D$505,$B$6:$B$505,"Cuenta Myinvestor"))),"")</f>
      </c>
      <c r="I7" s="17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Myinvestor")&lt;=0,SUMPRODUCT(--($H8:$H12&lt;&gt;""))=0),"",IF(OR($H7=0,$H7=""),"",$J7/$H7))),"")</f>
      </c>
      <c r="J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Myinvestor")&lt;=0,SUMPRODUCT(--($H8:$H12&lt;&gt;""))=0),"",IF(OR($H7="",$K7=""),"",$K7-$H7))),"")</f>
      </c>
      <c r="K7" s="16">
        <f>IFERROR(IF($F7="","",IF(AND(COUNTIF($C$6:$C$505,"Cuenta Myinvestor")+COUNTIF($B$6:$B$505,"Cuenta Myinvestor")&gt;0,SUMIFS($D$6:$D$505,$C$6:$C$505,"Cuenta Myinvestor")-SUMIFS($D$6:$D$505,$B$6:$B$505,"Cuenta Myinvestor")&lt;=0,SUMPRODUCT(--($H8:$H12&lt;&gt;""))=0),"",SUMIFS($D$6:$D$505,$C$6:$C$505,"Cuenta Myinvestor")-SUMIFS($D$6:$D$505,$B$6:$B$505,"Cuenta Myinvestor"))),"")</f>
      </c>
    </row>
    <row r="8" spans="1:11" x14ac:dyDescent="0.25">
      <c r="A8" s="9">
        <v>46297</v>
      </c>
      <c r="B8" s="10" t="s">
        <v>19</v>
      </c>
      <c r="C8" s="10" t="s">
        <v>22</v>
      </c>
      <c r="D8" s="11">
        <v>200</v>
      </c>
      <c r="F8" s="18" t="s">
        <v>20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9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46298</v>
      </c>
      <c r="B9" s="10" t="s">
        <v>18</v>
      </c>
      <c r="C9" s="10" t="s">
        <v>23</v>
      </c>
      <c r="D9" s="11">
        <v>400</v>
      </c>
      <c r="F9" s="20" t="s">
        <v>22</v>
      </c>
      <c r="G9" s="15" t="s">
        <v>21</v>
      </c>
      <c r="H9" s="21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2"/>
      <c r="J9" s="21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1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46300</v>
      </c>
      <c r="B10" s="10" t="s">
        <v>19</v>
      </c>
      <c r="C10" s="10" t="s">
        <v>24</v>
      </c>
      <c r="D10" s="11">
        <v>150</v>
      </c>
      <c r="F10" s="20" t="s">
        <v>25</v>
      </c>
      <c r="G10" s="15" t="s">
        <v>21</v>
      </c>
      <c r="H10" s="21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2"/>
      <c r="J10" s="21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1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46317</v>
      </c>
      <c r="B11" s="10"/>
      <c r="C11" s="10"/>
      <c r="D11" s="11"/>
      <c r="F11" s="20" t="s">
        <v>26</v>
      </c>
      <c r="G11" s="15" t="s">
        <v>21</v>
      </c>
      <c r="H11" s="21">
        <f>IFERROR(IF($F11="","",IF(AND(SUMIFS($D$6:$D$505,$C$6:$C$505,"Depósito 12 meses")&gt;0,SUMIFS($D$6:$D$505,$C$6:$C$505,"Depósito 12 meses")-SUMIFS($D$6:$D$505,$B$6:$B$505,"Depósito 12 meses")&lt;=0),"",SUMIFS($D$6:$D$505,$C$6:$C$505,"Depósito 12 meses")-SUMIFS($D$6:$D$505,$B$6:$B$505,"Depósito 12 meses"))),"")</f>
      </c>
      <c r="I11" s="22"/>
      <c r="J11" s="21">
        <f>IFERROR(IF($F11="","",IF(AND(SUMIFS($D$6:$D$505,$C$6:$C$505,"Depósito 12 meses")&gt;0,SUMIFS($D$6:$D$505,$C$6:$C$505,"Depósito 12 meses")-SUMIFS($D$6:$D$505,$B$6:$B$505,"Depósito 12 meses")&lt;=0),"",IF(OR($H11="",$K11=""),"",$K11-$H11))),"")</f>
      </c>
      <c r="K11" s="21">
        <f>IFERROR(IF($F11="","",IF(AND(SUMIFS($D$6:$D$505,$C$6:$C$505,"Depósito 12 meses")&gt;0,SUMIFS($D$6:$D$505,$C$6:$C$505,"Depósito 12 meses")-SUMIFS($D$6:$D$505,$B$6:$B$505,"Depósito 12 meses")&lt;=0),"",IF(OR($H11="",$H11=0),"",IF($I11="",$H11,$H11*(1+$I11))))),"")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0" t="s">
        <v>27</v>
      </c>
      <c r="G12" s="15" t="s">
        <v>21</v>
      </c>
      <c r="H12" s="21">
        <f>IFERROR(IF($F12="","",IF(AND(SUMIFS($D$6:$D$505,$C$6:$C$505,"Plan de pensiones indexado")&gt;0,SUMIFS($D$6:$D$505,$C$6:$C$505,"Plan de pensiones indexado")-SUMIFS($D$6:$D$505,$B$6:$B$505,"Plan de pensiones indexado")&lt;=0),"",SUMIFS($D$6:$D$505,$C$6:$C$505,"Plan de pensiones indexado")-SUMIFS($D$6:$D$505,$B$6:$B$505,"Plan de pensiones indexado"))),"")</f>
      </c>
      <c r="I12" s="22"/>
      <c r="J12" s="21">
        <f>IFERROR(IF($F12="","",IF(AND(SUMIFS($D$6:$D$505,$C$6:$C$505,"Plan de pensiones indexado")&gt;0,SUMIFS($D$6:$D$505,$C$6:$C$505,"Plan de pensiones indexado")-SUMIFS($D$6:$D$505,$B$6:$B$505,"Plan de pensiones indexado")&lt;=0),"",IF(OR($H12="",$K12=""),"",$K12-$H12))),"")</f>
      </c>
      <c r="K12" s="21">
        <f>IFERROR(IF($F12="","",IF(AND(SUMIFS($D$6:$D$505,$C$6:$C$505,"Plan de pensiones indexado")&gt;0,SUMIFS($D$6:$D$505,$C$6:$C$505,"Plan de pensiones indexado")-SUMIFS($D$6:$D$505,$B$6:$B$505,"Plan de pensiones indexado")&lt;=0),"",IF(OR($H12="",$H12=0),"",IF($I12="",$H12,$H12*(1+$I12))))),"")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3" t="s">
        <v>28</v>
      </c>
      <c r="G13" s="15" t="s">
        <v>21</v>
      </c>
      <c r="H13" s="21">
        <f>IFERROR(IF($F13="","",IF(AND(COUNTIF($C$6:$C$505,"Cuenta ahorro · ING")+COUNTIF($B$6:$B$505,"Cuenta ahorro · ING")&gt;0,SUMIFS($D$6:$D$505,$C$6:$C$505,"Cuenta ahorro · ING")-SUMIFS($D$6:$D$505,$B$6:$B$505,"Cuenta ahorro · ING")&lt;=0),"",SUMIFS($D$6:$D$505,$C$6:$C$505,"Cuenta ahorro · ING")-SUMIFS($D$6:$D$505,$B$6:$B$505,"Cuenta ahorro · ING"))),"")</f>
      </c>
      <c r="I13" s="24">
        <f>IFERROR(IF($F13="","",IF(AND(COUNTIF($C$6:$C$505,"Cuenta ahorro · ING")+COUNTIF($B$6:$B$505,"Cuenta ahorro · ING")&gt;0,SUMIFS($D$6:$D$505,$C$6:$C$505,"Cuenta ahorro · ING")-SUMIFS($D$6:$D$505,$B$6:$B$505,"Cuenta ahorro · ING")&lt;=0),"",IF(OR($H13=0,$H13=""),"",$J13/$H13))),"")</f>
      </c>
      <c r="J13" s="21">
        <f>IFERROR(IF($F13="","",IF(AND(COUNTIF($C$6:$C$505,"Cuenta ahorro · ING")+COUNTIF($B$6:$B$505,"Cuenta ahorro · ING")&gt;0,SUMIFS($D$6:$D$505,$C$6:$C$505,"Cuenta ahorro · ING")-SUMIFS($D$6:$D$505,$B$6:$B$505,"Cuenta ahorro · ING")&lt;=0),"",IF(OR($H13="",$K13=""),"",$K13-$H13))),"")</f>
      </c>
      <c r="K13" s="21">
        <f>IFERROR(IF($F13="","",IF(AND(COUNTIF($C$6:$C$505,"Cuenta ahorro · ING")+COUNTIF($B$6:$B$505,"Cuenta ahorro · ING")&gt;0,SUMIFS($D$6:$D$505,$C$6:$C$505,"Cuenta ahorro · ING")-SUMIFS($D$6:$D$505,$B$6:$B$505,"Cuenta ahorro · ING")&lt;=0),"",SUMIFS($D$6:$D$505,$C$6:$C$505,"Cuenta ahorro · ING")-SUMIFS($D$6:$D$505,$B$6:$B$505,"Cuenta ahorro · ING"))),"")</f>
      </c>
    </row>
    <row r="14" spans="1:11" x14ac:dyDescent="0.25">
      <c r="A14" s="9">
        <v>46317</v>
      </c>
      <c r="B14" s="10"/>
      <c r="C14" s="10"/>
      <c r="D14" s="11"/>
      <c r="F14" s="25" t="s">
        <v>23</v>
      </c>
      <c r="G14" s="15" t="s">
        <v>29</v>
      </c>
      <c r="H14" s="26">
        <f>IFERROR(IF($F14="","",IF(AND(SUMIFS($D$6:$D$505,$C$6:$C$505,"Fondo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4" s="27"/>
      <c r="J14" s="26">
        <f>IFERROR(IF($F14="","",IF(AND(SUMIFS($D$6:$D$505,$C$6:$C$505,"Fondo indexado")&gt;0,SUMIFS($D$6:$D$505,$C$6:$C$505,"Fondo indexado")-SUMIFS($D$6:$D$505,$B$6:$B$505,"Fondo indexado")&lt;=0),"",IF(OR($H14="",$K14=""),"",$K14-$H14))),"")</f>
      </c>
      <c r="K14" s="26">
        <f>IFERROR(IF($F14="","",IF(AND(SUMIFS($D$6:$D$505,$C$6:$C$505,"Fondo indexado")&gt;0,SUMIFS($D$6:$D$505,$C$6:$C$505,"Fondo indexado")-SUMIFS($D$6:$D$505,$B$6:$B$505,"Fondo indexado")&lt;=0),"",IF(OR($H14="",$H14=0),"",IF($I14="",$H14,$H14*(1+$I14))))),"")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 t="s">
        <v>24</v>
      </c>
      <c r="G15" s="15" t="s">
        <v>29</v>
      </c>
      <c r="H15" s="26">
        <f>IFERROR(IF($F15="","",IF(AND(SUMIFS($D$6:$D$505,$C$6:$C$505,"iShares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5" s="27"/>
      <c r="J15" s="26">
        <f>IFERROR(IF($F15="","",IF(AND(SUMIFS($D$6:$D$505,$C$6:$C$505,"iShares Developed World Index")&gt;0,SUMIFS($D$6:$D$505,$C$6:$C$505,"iShares Developed World Index")-SUMIFS($D$6:$D$505,$B$6:$B$505,"iShares Developed World Index")&lt;=0),"",IF(OR($H15="",$K15=""),"",$K15-$H15))),"")</f>
      </c>
      <c r="K15" s="26">
        <f>IFERROR(IF($F15="","",IF(AND(SUMIFS($D$6:$D$505,$C$6:$C$505,"iShares Developed World Index")&gt;0,SUMIFS($D$6:$D$505,$C$6:$C$505,"iShares Developed World Index")-SUMIFS($D$6:$D$505,$B$6:$B$505,"iShares Developed World Index")&lt;=0),"",IF(OR($H15="",$H15=0),"",IF($I15="",$H15,$H15*(1+$I15))))),"")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8"/>
      <c r="G16" s="29"/>
      <c r="H16" s="30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31"/>
      <c r="J16" s="30">
        <f>IFERROR(IF($F16="","",IF(AND(SUMIFS($D$6:$D$505,$C$6:$C$505,$F16)&gt;0,SUMIFS($D$6:$D$505,$C$6:$C$505,$F16)-SUMIFS($D$6:$D$505,$B$6:$B$505,$F16)&lt;=0),"",IF(OR($H16="",$K16=""),"",$K16-$H16))),"")</f>
      </c>
      <c r="K16" s="30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8"/>
      <c r="G17" s="29"/>
      <c r="H17" s="30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31"/>
      <c r="J17" s="30">
        <f>IFERROR(IF($F17="","",IF(AND(SUMIFS($D$6:$D$505,$C$6:$C$505,$F17)&gt;0,SUMIFS($D$6:$D$505,$C$6:$C$505,$F17)-SUMIFS($D$6:$D$505,$B$6:$B$505,$F17)&lt;=0),"",IF(OR($H17="",$K17=""),"",$K17-$H17))),"")</f>
      </c>
      <c r="K17" s="30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4" x14ac:dyDescent="0.25">
      <c r="A18" s="9">
        <v>46317</v>
      </c>
      <c r="B18" s="10"/>
      <c r="C18" s="10"/>
      <c r="D18" s="11"/>
    </row>
    <row r="19" spans="1:11" x14ac:dyDescent="0.25">
      <c r="A19" s="9">
        <v>46317</v>
      </c>
      <c r="B19" s="10"/>
      <c r="C19" s="10"/>
      <c r="D19" s="11"/>
      <c r="F19" s="32" t="s">
        <v>30</v>
      </c>
      <c r="G19" s="33" t="s">
        <v>21</v>
      </c>
      <c r="H19" s="34">
        <f>IFERROR(IF(SUMIFS($H$6:$H$17,$G$6:$G$17,"Marta")=0,"",SUMIFS($H$6:$H$17,$G$6:$G$17,"Marta")),"")</f>
      </c>
      <c r="I19" s="35">
        <f>IFERROR(IF($H19=0,"",$J19/$H19),"")</f>
      </c>
      <c r="J19" s="34">
        <f>IFERROR(IF(SUMIFS($J$6:$J$17,$G$6:$G$17,"Marta")=0,"",SUMIFS($J$6:$J$17,$G$6:$G$17,"Marta")),"")</f>
      </c>
      <c r="K19" s="34">
        <f>IFERROR(IF(SUMIFS($K$6:$K$17,$G$6:$G$17,"Marta")=0,"",SUMIFS($K$6:$K$17,$G$6:$G$17,"Marta")),"")</f>
      </c>
    </row>
    <row r="20" spans="1:11" x14ac:dyDescent="0.25">
      <c r="A20" s="9">
        <v>46317</v>
      </c>
      <c r="B20" s="10"/>
      <c r="C20" s="10"/>
      <c r="D20" s="11"/>
      <c r="F20" s="32" t="s">
        <v>31</v>
      </c>
      <c r="G20" s="33" t="s">
        <v>29</v>
      </c>
      <c r="H20" s="34">
        <f>IFERROR(IF(SUMIFS($H$6:$H$17,$G$6:$G$17,"Fondo ahorro")=0,"",SUMIFS($H$6:$H$17,$G$6:$G$17,"Fondo ahorro")),"")</f>
      </c>
      <c r="I20" s="35">
        <f>IFERROR(IF($H20=0,"",$J20/$H20),"")</f>
      </c>
      <c r="J20" s="34">
        <f>IFERROR(IF(SUMIFS($J$6:$J$17,$G$6:$G$17,"Fondo ahorro")=0,"",SUMIFS($J$6:$J$17,$G$6:$G$17,"Fondo ahorro")),"")</f>
      </c>
      <c r="K20" s="34">
        <f>IFERROR(IF(SUMIFS($K$6:$K$17,$G$6:$G$17,"Fondo ahorro")=0,"",SUMIFS($K$6:$K$17,$G$6:$G$17,"Fondo ahorro")),"")</f>
      </c>
    </row>
    <row r="21" ht="18" customHeight="1" spans="1:11" x14ac:dyDescent="0.25">
      <c r="A21" s="9">
        <v>46317</v>
      </c>
      <c r="B21" s="10"/>
      <c r="C21" s="10"/>
      <c r="D21" s="11"/>
      <c r="F21" s="36" t="s">
        <v>32</v>
      </c>
      <c r="G21" s="36"/>
      <c r="H21" s="37">
        <f>IFERROR(IF(SUM($H$6:$H$17)=0,"",SUM($H$6:$H$17)),"")</f>
      </c>
      <c r="I21" s="38">
        <f>IFERROR(IF($H21=0,"",$J21/$H21),"")</f>
      </c>
      <c r="J21" s="37">
        <f>IFERROR(IF(SUM($J$6:$J$17)=0,"",SUM($J$6:$J$17)),"")</f>
      </c>
      <c r="K21" s="37">
        <f>IFERROR(IF(SUM($K$6:$K$17)=0,"",SUM($K$6:$K$17)),"")</f>
      </c>
    </row>
    <row r="22" spans="1:4" x14ac:dyDescent="0.25">
      <c r="A22" s="9">
        <v>46317</v>
      </c>
      <c r="B22" s="10"/>
      <c r="C22" s="10"/>
      <c r="D22" s="11"/>
    </row>
    <row r="23" spans="1:11" x14ac:dyDescent="0.25">
      <c r="A23" s="39" t="s">
        <v>33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</row>
    <row r="24" spans="1:11" x14ac:dyDescent="0.25">
      <c r="A24" s="39" t="s">
        <v>34</v>
      </c>
      <c r="B24" s="39"/>
      <c r="C24" s="39"/>
      <c r="D24" s="39"/>
      <c r="E24" s="39"/>
      <c r="F24" s="39"/>
      <c r="G24" s="39"/>
      <c r="H24" s="39"/>
      <c r="I24" s="39"/>
      <c r="J24" s="39"/>
      <c r="K24" s="39"/>
    </row>
    <row r="25" spans="1:4" x14ac:dyDescent="0.25">
      <c r="A25" s="9">
        <v>46317</v>
      </c>
      <c r="B25" s="10"/>
      <c r="C25" s="10"/>
      <c r="D25" s="11"/>
    </row>
    <row r="26" spans="1:4" x14ac:dyDescent="0.25">
      <c r="A26" s="9">
        <v>46317</v>
      </c>
      <c r="B26" s="10"/>
      <c r="C26" s="10"/>
      <c r="D26" s="11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3:K23"/>
    <mergeCell ref="A24:K24"/>
  </mergeCells>
  <conditionalFormatting sqref="A6:D50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F16:K17">
    <cfRule type="expression" dxfId="3" priority="1">
      <formula>$F16&lt;&gt;""</formula>
    </cfRule>
    <cfRule type="expression" dxfId="4" priority="2">
      <formula>AND($F15&lt;&gt;"",$F16="")</formula>
    </cfRule>
    <cfRule type="expression" dxfId="5" priority="3">
      <formula>$F15=""</formula>
    </cfRule>
  </conditionalFormatting>
  <conditionalFormatting sqref="I16:I17">
    <cfRule type="expression" dxfId="6" priority="4">
      <formula>$F16&lt;&gt;""</formula>
    </cfRule>
    <cfRule type="expression" dxfId="7" priority="5">
      <formula>AND($F15&lt;&gt;"",$F16="")</formula>
    </cfRule>
  </conditionalFormatting>
  <conditionalFormatting sqref="F7:K15">
    <cfRule type="expression" dxfId="8" priority="1">
      <formula>$H7=""</formula>
    </cfRule>
  </conditionalFormatting>
  <conditionalFormatting sqref="F9:F17">
    <cfRule type="expression" dxfId="9" priority="6">
      <formula>AND($F9&lt;&gt;"",$G9="Marta")</formula>
    </cfRule>
    <cfRule type="expression" dxfId="10" priority="7">
      <formula>AND($F9&lt;&gt;"",$G9="Fondo ahorro")</formula>
    </cfRule>
  </conditionalFormatting>
  <conditionalFormatting sqref="I6:J17">
    <cfRule type="cellIs" dxfId="11" priority="4" operator="greaterThan">
      <formula>0</formula>
    </cfRule>
    <cfRule type="cellIs" dxfId="12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decimal" operator="greaterThan" allowBlank="1" sqref="D6:D5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17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40" t="s">
        <v>35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ht="20" customHeight="1" spans="1:15" x14ac:dyDescent="0.25">
      <c r="A2" s="5" t="s">
        <v>36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</sheetData>
  <mergeCells count="2">
    <mergeCell ref="A1:O1"/>
    <mergeCell ref="A2:O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9"/>
  <sheetViews>
    <sheetView workbookViewId="0" showGridLines="0"/>
  </sheetViews>
  <sheetFormatPr defaultRowHeight="15" outlineLevelRow="0" outlineLevelCol="0" x14ac:dyDescent="55"/>
  <cols>
    <col min="1" max="4" width="22" customWidth="1"/>
    <col min="5" max="5" width="13" customWidth="1"/>
    <col min="6" max="9" width="22" customWidth="1"/>
    <col min="10" max="10" width="13" customWidth="1"/>
    <col min="11" max="14" width="22" customWidth="1"/>
    <col min="15" max="15" width="3" customWidth="1"/>
  </cols>
  <sheetData>
    <row r="1" ht="20" customHeight="1" spans="1:15" x14ac:dyDescent="0.25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0" customHeight="1" spans="1:15" x14ac:dyDescent="0.25">
      <c r="A2" s="5" t="s">
        <v>38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spans="1:14" x14ac:dyDescent="0.25">
      <c r="A3" s="41" t="s">
        <v>39</v>
      </c>
      <c r="B3" s="41"/>
      <c r="C3" s="41"/>
      <c r="D3" s="41"/>
      <c r="F3" s="41" t="s">
        <v>40</v>
      </c>
      <c r="G3" s="41"/>
      <c r="H3" s="41"/>
      <c r="I3" s="41"/>
      <c r="K3" s="41" t="s">
        <v>41</v>
      </c>
      <c r="L3" s="41"/>
      <c r="M3" s="41"/>
      <c r="N3" s="41"/>
    </row>
    <row r="4" ht="22" customHeight="1" spans="1:9" x14ac:dyDescent="0.25">
      <c r="A4" s="42" t="s">
        <v>18</v>
      </c>
      <c r="B4" s="42"/>
      <c r="C4" s="42"/>
      <c r="D4" s="42"/>
      <c r="E4" s="43" t="s">
        <v>42</v>
      </c>
      <c r="F4" s="44" t="s">
        <v>19</v>
      </c>
      <c r="G4" s="44"/>
      <c r="H4" s="44"/>
      <c r="I4" s="44"/>
    </row>
    <row r="5" ht="5" customHeight="1" x14ac:dyDescent="0.25"/>
    <row r="6" ht="22" customHeight="1" spans="1:14" x14ac:dyDescent="0.25">
      <c r="A6" s="42" t="s">
        <v>18</v>
      </c>
      <c r="B6" s="42"/>
      <c r="C6" s="42"/>
      <c r="D6" s="42"/>
      <c r="E6" s="43" t="s">
        <v>43</v>
      </c>
      <c r="F6" s="43"/>
      <c r="G6" s="43"/>
      <c r="H6" s="43"/>
      <c r="I6" s="43"/>
      <c r="J6" s="43"/>
      <c r="K6" s="45" t="s">
        <v>23</v>
      </c>
      <c r="L6" s="45"/>
      <c r="M6" s="45"/>
      <c r="N6" s="45"/>
    </row>
    <row r="7" ht="5" customHeight="1" x14ac:dyDescent="0.25"/>
    <row r="8" ht="22" customHeight="1" spans="6:14" x14ac:dyDescent="0.25">
      <c r="F8" s="44" t="s">
        <v>19</v>
      </c>
      <c r="G8" s="44"/>
      <c r="H8" s="44"/>
      <c r="I8" s="44"/>
      <c r="J8" s="43" t="s">
        <v>44</v>
      </c>
      <c r="K8" s="45" t="s">
        <v>20</v>
      </c>
      <c r="L8" s="45"/>
      <c r="M8" s="45"/>
      <c r="N8" s="45"/>
    </row>
    <row r="9" ht="5" customHeight="1" x14ac:dyDescent="0.25"/>
    <row r="10" ht="22" customHeight="1" spans="6:14" x14ac:dyDescent="0.25">
      <c r="F10" s="44" t="s">
        <v>19</v>
      </c>
      <c r="G10" s="44"/>
      <c r="H10" s="44"/>
      <c r="I10" s="44"/>
      <c r="J10" s="43" t="s">
        <v>45</v>
      </c>
      <c r="K10" s="45" t="s">
        <v>22</v>
      </c>
      <c r="L10" s="45"/>
      <c r="M10" s="45"/>
      <c r="N10" s="45"/>
    </row>
    <row r="11" ht="5" customHeight="1" x14ac:dyDescent="0.25"/>
    <row r="12" ht="22" customHeight="1" spans="6:14" x14ac:dyDescent="0.25">
      <c r="F12" s="44" t="s">
        <v>19</v>
      </c>
      <c r="G12" s="44"/>
      <c r="H12" s="44"/>
      <c r="I12" s="44"/>
      <c r="J12" s="43" t="s">
        <v>46</v>
      </c>
      <c r="K12" s="45" t="s">
        <v>24</v>
      </c>
      <c r="L12" s="45"/>
      <c r="M12" s="45"/>
      <c r="N12" s="45"/>
    </row>
    <row r="13" ht="5" customHeight="1" x14ac:dyDescent="0.25"/>
    <row r="14" ht="22" customHeight="1" spans="6:14" x14ac:dyDescent="0.25">
      <c r="F14" s="44" t="s">
        <v>19</v>
      </c>
      <c r="G14" s="44"/>
      <c r="H14" s="44"/>
      <c r="I14" s="44"/>
      <c r="J14" s="46" t="s">
        <v>47</v>
      </c>
      <c r="K14" s="45" t="s">
        <v>25</v>
      </c>
      <c r="L14" s="45"/>
      <c r="M14" s="45"/>
      <c r="N14" s="45"/>
    </row>
    <row r="15" ht="5" customHeight="1" x14ac:dyDescent="0.25"/>
    <row r="16" ht="22" customHeight="1" spans="6:14" x14ac:dyDescent="0.25">
      <c r="F16" s="44" t="s">
        <v>19</v>
      </c>
      <c r="G16" s="44"/>
      <c r="H16" s="44"/>
      <c r="I16" s="44"/>
      <c r="J16" s="46" t="s">
        <v>47</v>
      </c>
      <c r="K16" s="45" t="s">
        <v>26</v>
      </c>
      <c r="L16" s="45"/>
      <c r="M16" s="45"/>
      <c r="N16" s="45"/>
    </row>
    <row r="17" ht="5" customHeight="1" x14ac:dyDescent="0.25"/>
    <row r="18" ht="22" customHeight="1" spans="6:14" x14ac:dyDescent="0.25">
      <c r="F18" s="44" t="s">
        <v>19</v>
      </c>
      <c r="G18" s="44"/>
      <c r="H18" s="44"/>
      <c r="I18" s="44"/>
      <c r="J18" s="46" t="s">
        <v>47</v>
      </c>
      <c r="K18" s="45" t="s">
        <v>27</v>
      </c>
      <c r="L18" s="45"/>
      <c r="M18" s="45"/>
      <c r="N18" s="45"/>
    </row>
    <row r="19" ht="5" customHeight="1" x14ac:dyDescent="0.25"/>
    <row r="20" ht="22" customHeight="1" x14ac:dyDescent="0.25"/>
    <row r="21" ht="22" customHeight="1" x14ac:dyDescent="0.25"/>
    <row r="22" ht="22" customHeight="1" spans="1:15" x14ac:dyDescent="0.25">
      <c r="A22" s="47" t="s">
        <v>48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</row>
    <row r="23" ht="22" customHeight="1" spans="1:14" x14ac:dyDescent="0.25">
      <c r="A23" s="48" t="s">
        <v>10</v>
      </c>
      <c r="B23" s="48"/>
      <c r="C23" s="48" t="s">
        <v>49</v>
      </c>
      <c r="D23" s="48"/>
      <c r="E23" s="48"/>
      <c r="F23" s="48"/>
      <c r="G23" s="48" t="s">
        <v>50</v>
      </c>
      <c r="H23" s="48"/>
      <c r="I23" s="48"/>
      <c r="J23" s="48"/>
      <c r="K23" s="48" t="s">
        <v>13</v>
      </c>
      <c r="L23" s="48"/>
      <c r="M23" s="48"/>
      <c r="N23" s="48"/>
    </row>
    <row r="24" ht="22" customHeight="1" spans="1:14" x14ac:dyDescent="0.25">
      <c r="A24" s="49">
        <v>46296</v>
      </c>
      <c r="B24" s="49"/>
      <c r="C24" s="50" t="s">
        <v>18</v>
      </c>
      <c r="D24" s="50"/>
      <c r="E24" s="50"/>
      <c r="F24" s="50"/>
      <c r="G24" s="50" t="s">
        <v>19</v>
      </c>
      <c r="H24" s="50"/>
      <c r="I24" s="50"/>
      <c r="J24" s="50"/>
      <c r="K24" s="51">
        <v>1000</v>
      </c>
      <c r="L24" s="51"/>
      <c r="M24" s="51"/>
      <c r="N24" s="51"/>
    </row>
    <row r="25" ht="22" customHeight="1" spans="1:14" x14ac:dyDescent="0.25">
      <c r="A25" s="49">
        <v>46297</v>
      </c>
      <c r="B25" s="49"/>
      <c r="C25" s="50" t="s">
        <v>19</v>
      </c>
      <c r="D25" s="50"/>
      <c r="E25" s="50"/>
      <c r="F25" s="50"/>
      <c r="G25" s="50" t="s">
        <v>20</v>
      </c>
      <c r="H25" s="50"/>
      <c r="I25" s="50"/>
      <c r="J25" s="50"/>
      <c r="K25" s="51">
        <v>300</v>
      </c>
      <c r="L25" s="51"/>
      <c r="M25" s="51"/>
      <c r="N25" s="51"/>
    </row>
    <row r="26" ht="22" customHeight="1" spans="1:14" x14ac:dyDescent="0.25">
      <c r="A26" s="49">
        <v>46297</v>
      </c>
      <c r="B26" s="49"/>
      <c r="C26" s="50" t="s">
        <v>19</v>
      </c>
      <c r="D26" s="50"/>
      <c r="E26" s="50"/>
      <c r="F26" s="50"/>
      <c r="G26" s="50" t="s">
        <v>22</v>
      </c>
      <c r="H26" s="50"/>
      <c r="I26" s="50"/>
      <c r="J26" s="50"/>
      <c r="K26" s="51">
        <v>200</v>
      </c>
      <c r="L26" s="51"/>
      <c r="M26" s="51"/>
      <c r="N26" s="51"/>
    </row>
    <row r="27" ht="22" customHeight="1" spans="1:14" x14ac:dyDescent="0.25">
      <c r="A27" s="49">
        <v>46298</v>
      </c>
      <c r="B27" s="49"/>
      <c r="C27" s="50" t="s">
        <v>18</v>
      </c>
      <c r="D27" s="50"/>
      <c r="E27" s="50"/>
      <c r="F27" s="50"/>
      <c r="G27" s="50" t="s">
        <v>23</v>
      </c>
      <c r="H27" s="50"/>
      <c r="I27" s="50"/>
      <c r="J27" s="50"/>
      <c r="K27" s="51">
        <v>400</v>
      </c>
      <c r="L27" s="51"/>
      <c r="M27" s="51"/>
      <c r="N27" s="51"/>
    </row>
    <row r="28" ht="22" customHeight="1" spans="1:14" x14ac:dyDescent="0.25">
      <c r="A28" s="49">
        <v>46300</v>
      </c>
      <c r="B28" s="49"/>
      <c r="C28" s="50" t="s">
        <v>19</v>
      </c>
      <c r="D28" s="50"/>
      <c r="E28" s="50"/>
      <c r="F28" s="50"/>
      <c r="G28" s="50" t="s">
        <v>24</v>
      </c>
      <c r="H28" s="50"/>
      <c r="I28" s="50"/>
      <c r="J28" s="50"/>
      <c r="K28" s="51">
        <v>150</v>
      </c>
      <c r="L28" s="51"/>
      <c r="M28" s="51"/>
      <c r="N28" s="51"/>
    </row>
    <row r="29" ht="22" customHeight="1" spans="1:14" x14ac:dyDescent="0.25">
      <c r="A29" s="52" t="s">
        <v>51</v>
      </c>
      <c r="B29" s="52"/>
      <c r="C29" s="52"/>
      <c r="D29" s="52"/>
      <c r="E29" s="52"/>
      <c r="F29" s="52"/>
      <c r="G29" s="52"/>
      <c r="H29" s="52"/>
      <c r="I29" s="52"/>
      <c r="J29" s="52"/>
      <c r="K29" s="53">
        <v>2050</v>
      </c>
      <c r="L29" s="53"/>
      <c r="M29" s="53"/>
      <c r="N29" s="53"/>
    </row>
  </sheetData>
  <mergeCells count="49">
    <mergeCell ref="A1:O1"/>
    <mergeCell ref="A2:O2"/>
    <mergeCell ref="A3:D3"/>
    <mergeCell ref="F3:I3"/>
    <mergeCell ref="K3:N3"/>
    <mergeCell ref="A4:D4"/>
    <mergeCell ref="F4:I4"/>
    <mergeCell ref="A6:D6"/>
    <mergeCell ref="E6:J6"/>
    <mergeCell ref="K6:N6"/>
    <mergeCell ref="F8:I8"/>
    <mergeCell ref="K8:N8"/>
    <mergeCell ref="F10:I10"/>
    <mergeCell ref="K10:N10"/>
    <mergeCell ref="F12:I12"/>
    <mergeCell ref="K12:N12"/>
    <mergeCell ref="F14:I14"/>
    <mergeCell ref="K14:N14"/>
    <mergeCell ref="F16:I16"/>
    <mergeCell ref="K16:N16"/>
    <mergeCell ref="F18:I18"/>
    <mergeCell ref="K18:N18"/>
    <mergeCell ref="A22:O22"/>
    <mergeCell ref="A23:B23"/>
    <mergeCell ref="C23:F23"/>
    <mergeCell ref="G23:J23"/>
    <mergeCell ref="K23:N23"/>
    <mergeCell ref="A24:B24"/>
    <mergeCell ref="C24:F24"/>
    <mergeCell ref="G24:J24"/>
    <mergeCell ref="K24:N24"/>
    <mergeCell ref="A25:B25"/>
    <mergeCell ref="C25:F25"/>
    <mergeCell ref="G25:J25"/>
    <mergeCell ref="K25:N25"/>
    <mergeCell ref="A26:B26"/>
    <mergeCell ref="C26:F26"/>
    <mergeCell ref="G26:J26"/>
    <mergeCell ref="K26:N26"/>
    <mergeCell ref="A27:B27"/>
    <mergeCell ref="C27:F27"/>
    <mergeCell ref="G27:J27"/>
    <mergeCell ref="K27:N27"/>
    <mergeCell ref="A28:B28"/>
    <mergeCell ref="C28:F28"/>
    <mergeCell ref="G28:J28"/>
    <mergeCell ref="K28:N28"/>
    <mergeCell ref="A29:J29"/>
    <mergeCell ref="K29:N29"/>
  </mergeCells>
  <pageMargins left="0.3" right="0.3" top="0.4" bottom="0.4" header="0" footer="0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Movimientos</vt:lpstr>
      <vt:lpstr>Gráficos</vt:lpstr>
      <vt:lpstr>Flujo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2026-10-22T18:47:22Z</dcterms:created>
  <dcterms:modified xsi:type="dcterms:W3CDTF">2026-10-22T18:47:22Z</dcterms:modified>
</cp:coreProperties>
</file>