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Flujo" state="visible" r:id="rId5"/>
  </sheets>
  <definedNames>
    <definedName name="ListaNombres">OFFSET('Movimientos'!$F$6,0,0,MAX(COUNTA('Movimientos'!$F$6:$F$19),1),1)</definedName>
    <definedName name="_xlnm.Print_Area" localSheetId="0">'Movimientos'!$A1:$O27</definedName>
    <definedName name="_xlnm.Print_Titles" localSheetId="0">'Movimientos'!$1:$5</definedName>
    <definedName name="_xlnm.Print_Area" localSheetId="1">'Flujo'!$A1:$O33</definedName>
  </definedNames>
  <calcPr calcId="171027" fullCalcOnLoad="1"/>
</workbook>
</file>

<file path=xl/sharedStrings.xml><?xml version="1.0" encoding="utf-8"?>
<sst xmlns="http://schemas.openxmlformats.org/spreadsheetml/2006/main" count="95" uniqueCount="58">
  <si>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</si>
  <si>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</si>
  <si>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</si>
  <si>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</si>
  <si>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</si>
  <si>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</si>
  <si>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</si>
  <si>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</si>
  <si>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</si>
  <si>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</si>
  <si>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</si>
  <si>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</si>
  <si>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</si>
  <si>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</si>
  <si>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</si>
  <si>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</si>
  <si>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</si>
  <si>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</si>
  <si>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</si>
  <si>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</si>
  <si>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Vanguard Global Stock Index</t>
  </si>
  <si>
    <t>Marta</t>
  </si>
  <si>
    <t>Fidelity MSCI World Index</t>
  </si>
  <si>
    <t>Cartera indexada Metal</t>
  </si>
  <si>
    <t>Fondo indexado</t>
  </si>
  <si>
    <t>iShares Developed World Index</t>
  </si>
  <si>
    <t>Fondo ahorro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</si>
  <si>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</si>
  <si>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</si>
  <si>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</si>
  <si>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</si>
  <si>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En las inversiones se escribe la rentabilidad en % (la celda amarilla, como en la app) y el saldo se calcula solo. «Exterior» es el dinero que entra o sale de fuera. La hoja está protegida: solo se puede escribir en los movimientos, en las filas nuevas y en el %.</t>
  </si>
  <si>
    <t>Flujo del dinero</t>
  </si>
  <si>
    <t>Gris: lo que llega de fuera · Azul: la cuenta por la que pasa · Verde: donde está hoy. Cada camino es más grueso cuanto más dinero lleva. Se dibuja con los movimientos de hoy.</t>
  </si>
  <si>
    <t xml:space="preserve">Entra de fuera
1550,00 €</t>
  </si>
  <si>
    <t xml:space="preserve">Sigue en las cuentas
380,00 €</t>
  </si>
  <si>
    <t xml:space="preserve">Invertido
1170,00 €</t>
  </si>
  <si>
    <t>ORIGEN</t>
  </si>
  <si>
    <t>PASOS</t>
  </si>
  <si>
    <t>FINAL</t>
  </si>
  <si>
    <t xml:space="preserve">Exterior
1550,00 €</t>
  </si>
  <si>
    <t>380,00 €   ▶</t>
  </si>
  <si>
    <t xml:space="preserve">Cuenta Myinvestor
1000,00 €</t>
  </si>
  <si>
    <t xml:space="preserve">Sigue en la cuenta
380,00 €</t>
  </si>
  <si>
    <t>300,00 €   ▶</t>
  </si>
  <si>
    <t xml:space="preserve">Vanguard Global Stock Index
300,00 €</t>
  </si>
  <si>
    <t>200,00 €   ▶</t>
  </si>
  <si>
    <t xml:space="preserve">Fidelity MSCI World Index
200,00 €</t>
  </si>
  <si>
    <t>120,00 €   ▶</t>
  </si>
  <si>
    <t xml:space="preserve">Cartera indexada Metal
120,00 €</t>
  </si>
  <si>
    <t>400,00 €   ▶▶▶</t>
  </si>
  <si>
    <t xml:space="preserve">Fondo indexado
400,00 €</t>
  </si>
  <si>
    <t>150,00 €   ▶▶▶</t>
  </si>
  <si>
    <t xml:space="preserve">iShares Developed World Index
150,00 €</t>
  </si>
  <si>
    <t>Movimientos, uno a uno</t>
  </si>
  <si>
    <t>De</t>
  </si>
  <si>
    <t>A</t>
  </si>
  <si>
    <t>Total de los 6 movimientos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</si>
</sst>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1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64748B"/>
      <sz val="10"/>
    </font>
    <font>
      <b/>
      <color rgb="FF1D4ED8"/>
      <sz val="12"/>
    </font>
    <font>
      <color rgb="FF64748B"/>
      <sz val="10"/>
    </font>
    <font>
      <b/>
      <color rgb="FF0F172A"/>
      <sz val="12"/>
    </font>
  </fonts>
  <fills count="8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64748B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 applyProtection="1">
      <alignment indent="1"/>
      <protection locked="0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7" fillId="4" borderId="0" xfId="0" applyFont="1" applyFill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5" fontId="10" fillId="0" borderId="1" xfId="0" applyNumberFormat="1" applyFont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165" fontId="10" fillId="4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15">
    <dxf>
      <font>
        <color rgb="FFFFFFFF"/>
        <sz val="10"/>
      </font>
    </dxf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46297</v>
      </c>
      <c r="B7" s="10" t="s">
        <v>19</v>
      </c>
      <c r="C7" s="10" t="s">
        <v>20</v>
      </c>
      <c r="D7" s="11">
        <v>300</v>
      </c>
      <c r="F7" s="14" t="s">
        <v>19</v>
      </c>
      <c r="G7" s="15" t="s">
        <v>21</v>
      </c>
      <c r="H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Myinvestor")&lt;=0,SUMPRODUCT(--($H8:$H10&lt;&gt;""))=0),"",SUMIFS($D$6:$D$505,$C$6:$C$505,"Cuenta Myinvestor")-SUMIFS($D$6:$D$505,$B$6:$B$505,"Cuenta Myinvestor"))),"")</f>
      </c>
      <c r="I7" s="17"/>
      <c r="J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Myinvestor")&lt;=0,SUMPRODUCT(--($H8:$H10&lt;&gt;""))=0),"",IF(OR($H7="",$K7=""),"",$K7-$H7))),"")</f>
      </c>
      <c r="K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Myinvestor")&lt;=0,SUMPRODUCT(--($H8:$H10&lt;&gt;""))=0),"",IF(OR($H7="",$H7=0),"",IF($I7="",$H7,$H7*(1+$I7))))),"")</f>
      </c>
    </row>
    <row r="8" spans="1:11" x14ac:dyDescent="0.25">
      <c r="A8" s="9">
        <v>46297</v>
      </c>
      <c r="B8" s="10" t="s">
        <v>19</v>
      </c>
      <c r="C8" s="10" t="s">
        <v>22</v>
      </c>
      <c r="D8" s="11">
        <v>200</v>
      </c>
      <c r="F8" s="18" t="s">
        <v>20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7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46298</v>
      </c>
      <c r="B9" s="10" t="s">
        <v>19</v>
      </c>
      <c r="C9" s="10" t="s">
        <v>23</v>
      </c>
      <c r="D9" s="11">
        <v>120</v>
      </c>
      <c r="F9" s="19" t="s">
        <v>22</v>
      </c>
      <c r="G9" s="15" t="s">
        <v>21</v>
      </c>
      <c r="H9" s="20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1"/>
      <c r="J9" s="20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0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46298</v>
      </c>
      <c r="B10" s="10" t="s">
        <v>18</v>
      </c>
      <c r="C10" s="10" t="s">
        <v>24</v>
      </c>
      <c r="D10" s="11">
        <v>400</v>
      </c>
      <c r="F10" s="19" t="s">
        <v>23</v>
      </c>
      <c r="G10" s="15" t="s">
        <v>21</v>
      </c>
      <c r="H10" s="20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1"/>
      <c r="J10" s="20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0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46300</v>
      </c>
      <c r="B11" s="10" t="s">
        <v>18</v>
      </c>
      <c r="C11" s="10" t="s">
        <v>25</v>
      </c>
      <c r="D11" s="11">
        <v>150</v>
      </c>
      <c r="F11" s="22" t="s">
        <v>24</v>
      </c>
      <c r="G11" s="15" t="s">
        <v>26</v>
      </c>
      <c r="H11" s="23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4"/>
      <c r="J11" s="23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3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2" t="s">
        <v>25</v>
      </c>
      <c r="G12" s="15" t="s">
        <v>26</v>
      </c>
      <c r="H12" s="23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4"/>
      <c r="J12" s="23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3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5"/>
      <c r="G13" s="26"/>
      <c r="H13" s="27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8"/>
      <c r="J13" s="27">
        <f>IFERROR(IF($F13="","",IF(AND(SUMIFS($D$6:$D$505,$C$6:$C$505,$F13)&gt;0,SUMIFS($D$6:$D$505,$C$6:$C$505,$F13)-SUMIFS($D$6:$D$505,$B$6:$B$505,$F13)&lt;=0),"",IF(OR($H13="",$K13=""),"",$K13-$H13))),"")</f>
      </c>
      <c r="K13" s="27">
        <f>IFERROR(IF($F13="","",IF(AND(SUMIFS($D$6:$D$505,$C$6:$C$505,$F13)&gt;0,SUMIFS($D$6:$D$505,$C$6:$C$505,$F13)-SUMIFS($D$6:$D$505,$B$6:$B$505,$F13)&lt;=0),"",IF(OR($H13="",$H13=0),"",IF($I13="",$H13,$H13*(1+$I13))))),"")</f>
      </c>
    </row>
    <row r="14" spans="1:11" x14ac:dyDescent="0.25">
      <c r="A14" s="9">
        <v>46317</v>
      </c>
      <c r="B14" s="10"/>
      <c r="C14" s="10"/>
      <c r="D14" s="11"/>
      <c r="F14" s="25"/>
      <c r="G14" s="26"/>
      <c r="H14" s="27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8"/>
      <c r="J14" s="27">
        <f>IFERROR(IF($F14="","",IF(AND(SUMIFS($D$6:$D$505,$C$6:$C$505,$F14)&gt;0,SUMIFS($D$6:$D$505,$C$6:$C$505,$F14)-SUMIFS($D$6:$D$505,$B$6:$B$505,$F14)&lt;=0),"",IF(OR($H14="",$K14=""),"",$K14-$H14))),"")</f>
      </c>
      <c r="K14" s="27">
        <f>IFERROR(IF($F14="","",IF(AND(SUMIFS($D$6:$D$505,$C$6:$C$505,$F14)&gt;0,SUMIFS($D$6:$D$505,$C$6:$C$505,$F14)-SUMIFS($D$6:$D$505,$B$6:$B$505,$F14)&lt;=0),"",IF(OR($H14="",$H14=0),"",IF($I14="",$H14,$H14*(1+$I14))))),"")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/>
      <c r="G15" s="26"/>
      <c r="H15" s="27">
        <f>IFERROR(IF($F15="","",IF(AND(SUMIFS($D$6:$D$505,$C$6:$C$505,$F15)&gt;0,SUMIFS($D$6:$D$505,$C$6:$C$505,$F15)-SUMIFS($D$6:$D$505,$B$6:$B$505,$F15)&lt;=0),"",SUMIFS($D$6:$D$505,$C$6:$C$505,$F15)-SUMIFS($D$6:$D$505,$B$6:$B$505,$F15))),"")</f>
      </c>
      <c r="I15" s="28"/>
      <c r="J15" s="27">
        <f>IFERROR(IF($F15="","",IF(AND(SUMIFS($D$6:$D$505,$C$6:$C$505,$F15)&gt;0,SUMIFS($D$6:$D$505,$C$6:$C$505,$F15)-SUMIFS($D$6:$D$505,$B$6:$B$505,$F15)&lt;=0),"",IF(OR($H15="",$K15=""),"",$K15-$H15))),"")</f>
      </c>
      <c r="K15" s="27">
        <f>IFERROR(IF($F15="","",IF(AND(SUMIFS($D$6:$D$505,$C$6:$C$505,$F15)&gt;0,SUMIFS($D$6:$D$505,$C$6:$C$505,$F15)-SUMIFS($D$6:$D$505,$B$6:$B$505,$F15)&lt;=0),"",IF(OR($H15="",$H15=0),"",IF($I15="",$H15,$H15*(1+$I15))))),"")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5"/>
      <c r="G16" s="26"/>
      <c r="H16" s="27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28"/>
      <c r="J16" s="27">
        <f>IFERROR(IF($F16="","",IF(AND(SUMIFS($D$6:$D$505,$C$6:$C$505,$F16)&gt;0,SUMIFS($D$6:$D$505,$C$6:$C$505,$F16)-SUMIFS($D$6:$D$505,$B$6:$B$505,$F16)&lt;=0),"",IF(OR($H16="",$K16=""),"",$K16-$H16))),"")</f>
      </c>
      <c r="K16" s="27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5"/>
      <c r="G17" s="26"/>
      <c r="H17" s="27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28"/>
      <c r="J17" s="27">
        <f>IFERROR(IF($F17="","",IF(AND(SUMIFS($D$6:$D$505,$C$6:$C$505,$F17)&gt;0,SUMIFS($D$6:$D$505,$C$6:$C$505,$F17)-SUMIFS($D$6:$D$505,$B$6:$B$505,$F17)&lt;=0),"",IF(OR($H17="",$K17=""),"",$K17-$H17))),"")</f>
      </c>
      <c r="K17" s="27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11" x14ac:dyDescent="0.25">
      <c r="A18" s="9">
        <v>46317</v>
      </c>
      <c r="B18" s="10"/>
      <c r="C18" s="10"/>
      <c r="D18" s="11"/>
      <c r="F18" s="25"/>
      <c r="G18" s="26"/>
      <c r="H18" s="27">
        <f>IFERROR(IF($F18="","",IF(AND(SUMIFS($D$6:$D$505,$C$6:$C$505,$F18)&gt;0,SUMIFS($D$6:$D$505,$C$6:$C$505,$F18)-SUMIFS($D$6:$D$505,$B$6:$B$505,$F18)&lt;=0),"",SUMIFS($D$6:$D$505,$C$6:$C$505,$F18)-SUMIFS($D$6:$D$505,$B$6:$B$505,$F18))),"")</f>
      </c>
      <c r="I18" s="28"/>
      <c r="J18" s="27">
        <f>IFERROR(IF($F18="","",IF(AND(SUMIFS($D$6:$D$505,$C$6:$C$505,$F18)&gt;0,SUMIFS($D$6:$D$505,$C$6:$C$505,$F18)-SUMIFS($D$6:$D$505,$B$6:$B$505,$F18)&lt;=0),"",IF(OR($H18="",$K18=""),"",$K18-$H18))),"")</f>
      </c>
      <c r="K18" s="27">
        <f>IFERROR(IF($F18="","",IF(AND(SUMIFS($D$6:$D$505,$C$6:$C$505,$F18)&gt;0,SUMIFS($D$6:$D$505,$C$6:$C$505,$F18)-SUMIFS($D$6:$D$505,$B$6:$B$505,$F18)&lt;=0),"",IF(OR($H18="",$H18=0),"",IF($I18="",$H18,$H18*(1+$I18))))),"")</f>
      </c>
    </row>
    <row r="19" spans="1:11" x14ac:dyDescent="0.25">
      <c r="A19" s="9">
        <v>46317</v>
      </c>
      <c r="B19" s="10"/>
      <c r="C19" s="10"/>
      <c r="D19" s="11"/>
      <c r="F19" s="25"/>
      <c r="G19" s="26"/>
      <c r="H19" s="27">
        <f>IFERROR(IF($F19="","",IF(AND(SUMIFS($D$6:$D$505,$C$6:$C$505,$F19)&gt;0,SUMIFS($D$6:$D$505,$C$6:$C$505,$F19)-SUMIFS($D$6:$D$505,$B$6:$B$505,$F19)&lt;=0),"",SUMIFS($D$6:$D$505,$C$6:$C$505,$F19)-SUMIFS($D$6:$D$505,$B$6:$B$505,$F19))),"")</f>
      </c>
      <c r="I19" s="28"/>
      <c r="J19" s="27">
        <f>IFERROR(IF($F19="","",IF(AND(SUMIFS($D$6:$D$505,$C$6:$C$505,$F19)&gt;0,SUMIFS($D$6:$D$505,$C$6:$C$505,$F19)-SUMIFS($D$6:$D$505,$B$6:$B$505,$F19)&lt;=0),"",IF(OR($H19="",$K19=""),"",$K19-$H19))),"")</f>
      </c>
      <c r="K19" s="27">
        <f>IFERROR(IF($F19="","",IF(AND(SUMIFS($D$6:$D$505,$C$6:$C$505,$F19)&gt;0,SUMIFS($D$6:$D$505,$C$6:$C$505,$F19)-SUMIFS($D$6:$D$505,$B$6:$B$505,$F19)&lt;=0),"",IF(OR($H19="",$H19=0),"",IF($I19="",$H19,$H19*(1+$I19))))),"")</f>
      </c>
    </row>
    <row r="20" spans="1:4" x14ac:dyDescent="0.25">
      <c r="A20" s="9">
        <v>46317</v>
      </c>
      <c r="B20" s="10"/>
      <c r="C20" s="10"/>
      <c r="D20" s="11"/>
    </row>
    <row r="21" spans="1:11" x14ac:dyDescent="0.25">
      <c r="A21" s="9">
        <v>46317</v>
      </c>
      <c r="B21" s="10"/>
      <c r="C21" s="10"/>
      <c r="D21" s="11"/>
      <c r="F21" s="29" t="s">
        <v>27</v>
      </c>
      <c r="G21" s="30" t="s">
        <v>21</v>
      </c>
      <c r="H21" s="31">
        <f>IFERROR(IF(SUMIFS($H$6:$H$19,$G$6:$G$19,"Marta")=0,"",SUMIFS($H$6:$H$19,$G$6:$G$19,"Marta")),"")</f>
      </c>
      <c r="I21" s="32">
        <f>IFERROR(IF($H21=0,"",$J21/$H21),"")</f>
      </c>
      <c r="J21" s="31">
        <f>IFERROR(IF(SUMIFS($J$6:$J$19,$G$6:$G$19,"Marta")=0,"",SUMIFS($J$6:$J$19,$G$6:$G$19,"Marta")),"")</f>
      </c>
      <c r="K21" s="31">
        <f>IFERROR(IF(SUMIFS($K$6:$K$19,$G$6:$G$19,"Marta")=0,"",SUMIFS($K$6:$K$19,$G$6:$G$19,"Marta")),"")</f>
      </c>
    </row>
    <row r="22" spans="1:11" x14ac:dyDescent="0.25">
      <c r="A22" s="9">
        <v>46317</v>
      </c>
      <c r="B22" s="10"/>
      <c r="C22" s="10"/>
      <c r="D22" s="11"/>
      <c r="F22" s="29" t="s">
        <v>28</v>
      </c>
      <c r="G22" s="30" t="s">
        <v>26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</row>
    <row r="23" ht="18" customHeight="1" spans="1:11" x14ac:dyDescent="0.25">
      <c r="A23" s="9">
        <v>46317</v>
      </c>
      <c r="B23" s="10"/>
      <c r="C23" s="10"/>
      <c r="D23" s="11"/>
      <c r="F23" s="33" t="s">
        <v>29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36" t="s">
        <v>30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</row>
    <row r="26" spans="1:11" x14ac:dyDescent="0.25">
      <c r="A26" s="36" t="s">
        <v>31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1">
      <formula>AND($D6&lt;&gt;"",$D6=0)</formula>
    </cfRule>
    <cfRule type="expression" dxfId="1" priority="2">
      <formula>AND($D5&lt;&gt;"",$D6="")</formula>
    </cfRule>
    <cfRule type="expression" dxfId="2" priority="3">
      <formula>$D5&lt;&gt;""</formula>
    </cfRule>
    <cfRule type="expression" dxfId="3" priority="4">
      <formula>$D5=""</formula>
    </cfRule>
  </conditionalFormatting>
  <conditionalFormatting sqref="F13:K19">
    <cfRule type="expression" dxfId="4" priority="1">
      <formula>$F13&lt;&gt;""</formula>
    </cfRule>
    <cfRule type="expression" dxfId="5" priority="2">
      <formula>AND($F12&lt;&gt;"",$F13="")</formula>
    </cfRule>
    <cfRule type="expression" dxfId="6" priority="3">
      <formula>$F12=""</formula>
    </cfRule>
  </conditionalFormatting>
  <conditionalFormatting sqref="I7:I12">
    <cfRule type="expression" dxfId="7" priority="4">
      <formula>AND($F7&lt;&gt;"",$H7&lt;&gt;"")</formula>
    </cfRule>
  </conditionalFormatting>
  <conditionalFormatting sqref="I13:I19">
    <cfRule type="expression" dxfId="8" priority="4">
      <formula>$F13&lt;&gt;""</formula>
    </cfRule>
    <cfRule type="expression" dxfId="9" priority="5">
      <formula>AND($F12&lt;&gt;"",$F13="")</formula>
    </cfRule>
  </conditionalFormatting>
  <conditionalFormatting sqref="F7:K12">
    <cfRule type="expression" dxfId="10" priority="1">
      <formula>$H7=""</formula>
    </cfRule>
  </conditionalFormatting>
  <conditionalFormatting sqref="F9:F19">
    <cfRule type="expression" dxfId="11" priority="6">
      <formula>AND($F9&lt;&gt;"",$G9="Marta")</formula>
    </cfRule>
    <cfRule type="expression" dxfId="12" priority="7">
      <formula>AND($F9&lt;&gt;"",$G9="Fondo ahorro")</formula>
    </cfRule>
  </conditionalFormatting>
  <conditionalFormatting sqref="I6:J19">
    <cfRule type="cellIs" dxfId="13" priority="4" operator="greaterThan">
      <formula>0</formula>
    </cfRule>
    <cfRule type="cellIs" dxfId="14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OR($D6=0,AND($D6&gt;0,OR($B6="Exterior",$D6&lt;=MAX(0,(SUMIFS($D$6:$D6,$C$6:$C6,$B6)-SUMIFS($D$6:$D6,$B$6:$B6,$B6)+$D6)*(1+IFERROR(VLOOKUP($B6,$F$6:$I$19,4,FALSE),0))))))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33"/>
  <sheetViews>
    <sheetView workbookViewId="0" showGridLines="0"/>
  </sheetViews>
  <sheetFormatPr defaultRowHeight="15" outlineLevelRow="0" outlineLevelCol="0" x14ac:dyDescent="55"/>
  <cols>
    <col min="1" max="4" width="22" customWidth="1"/>
    <col min="5" max="5" width="24" customWidth="1"/>
    <col min="6" max="9" width="22" customWidth="1"/>
    <col min="10" max="10" width="24" customWidth="1"/>
    <col min="11" max="14" width="22" customWidth="1"/>
    <col min="15" max="15" width="3" customWidth="1"/>
  </cols>
  <sheetData>
    <row r="1" ht="18" customHeight="1" spans="1:15" x14ac:dyDescent="0.25">
      <c r="A1" s="37" t="s">
        <v>32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18" customHeight="1" spans="1:15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8" customHeight="1" x14ac:dyDescent="0.25"/>
    <row r="4" ht="20" customHeight="1" spans="1:14" x14ac:dyDescent="0.25">
      <c r="A4" s="38" t="s">
        <v>34</v>
      </c>
      <c r="B4" s="38"/>
      <c r="C4" s="38"/>
      <c r="D4" s="38"/>
      <c r="F4" s="39" t="s">
        <v>35</v>
      </c>
      <c r="G4" s="39"/>
      <c r="H4" s="39"/>
      <c r="I4" s="39"/>
      <c r="K4" s="40" t="s">
        <v>36</v>
      </c>
      <c r="L4" s="40"/>
      <c r="M4" s="40"/>
      <c r="N4" s="40"/>
    </row>
    <row r="5" ht="20" customHeight="1" spans="1:14" x14ac:dyDescent="0.25">
      <c r="A5" s="38"/>
      <c r="B5" s="38"/>
      <c r="C5" s="38"/>
      <c r="D5" s="38"/>
      <c r="F5" s="39"/>
      <c r="G5" s="39"/>
      <c r="H5" s="39"/>
      <c r="I5" s="39"/>
      <c r="K5" s="40"/>
      <c r="L5" s="40"/>
      <c r="M5" s="40"/>
      <c r="N5" s="40"/>
    </row>
    <row r="6" ht="8" customHeight="1" x14ac:dyDescent="0.25"/>
    <row r="7" ht="18" customHeight="1" spans="1:14" x14ac:dyDescent="0.25">
      <c r="A7" s="41" t="s">
        <v>37</v>
      </c>
      <c r="B7" s="41"/>
      <c r="C7" s="41"/>
      <c r="D7" s="41"/>
      <c r="F7" s="41" t="s">
        <v>38</v>
      </c>
      <c r="G7" s="41"/>
      <c r="H7" s="41"/>
      <c r="I7" s="41"/>
      <c r="K7" s="41" t="s">
        <v>39</v>
      </c>
      <c r="L7" s="41"/>
      <c r="M7" s="41"/>
      <c r="N7" s="41"/>
    </row>
    <row r="8" ht="16" customHeight="1" spans="1:14" x14ac:dyDescent="0.25">
      <c r="A8" s="38" t="s">
        <v>40</v>
      </c>
      <c r="B8" s="38"/>
      <c r="C8" s="38"/>
      <c r="D8" s="38"/>
      <c r="E8" s="42" t="s">
        <v>41</v>
      </c>
      <c r="F8" s="39" t="s">
        <v>42</v>
      </c>
      <c r="G8" s="39"/>
      <c r="H8" s="39"/>
      <c r="I8" s="39"/>
      <c r="K8" s="43" t="s">
        <v>43</v>
      </c>
      <c r="L8" s="43"/>
      <c r="M8" s="43"/>
      <c r="N8" s="43"/>
    </row>
    <row r="9" ht="16" customHeight="1" spans="1:14" x14ac:dyDescent="0.25">
      <c r="A9" s="38"/>
      <c r="B9" s="38"/>
      <c r="C9" s="38"/>
      <c r="D9" s="38"/>
      <c r="E9" s="42"/>
      <c r="F9" s="39"/>
      <c r="G9" s="39"/>
      <c r="H9" s="39"/>
      <c r="I9" s="39"/>
      <c r="K9" s="43"/>
      <c r="L9" s="43"/>
      <c r="M9" s="43"/>
      <c r="N9" s="43"/>
    </row>
    <row r="10" ht="16" customHeight="1" spans="1:14" x14ac:dyDescent="0.25">
      <c r="A10" s="38"/>
      <c r="B10" s="38"/>
      <c r="C10" s="38"/>
      <c r="D10" s="38"/>
      <c r="E10" s="42"/>
      <c r="F10" s="39"/>
      <c r="G10" s="39"/>
      <c r="H10" s="39"/>
      <c r="I10" s="39"/>
      <c r="K10" s="43"/>
      <c r="L10" s="43"/>
      <c r="M10" s="43"/>
      <c r="N10" s="43"/>
    </row>
    <row r="11" ht="16" customHeight="1" spans="1:14" x14ac:dyDescent="0.25">
      <c r="A11" s="38"/>
      <c r="B11" s="38"/>
      <c r="C11" s="38"/>
      <c r="D11" s="38"/>
      <c r="E11" s="42"/>
      <c r="F11" s="39"/>
      <c r="G11" s="39"/>
      <c r="H11" s="39"/>
      <c r="I11" s="39"/>
      <c r="K11" s="43"/>
      <c r="L11" s="43"/>
      <c r="M11" s="43"/>
      <c r="N11" s="43"/>
    </row>
    <row r="12" ht="16" customHeight="1" spans="1:14" x14ac:dyDescent="0.25">
      <c r="A12" s="38"/>
      <c r="B12" s="38"/>
      <c r="C12" s="38"/>
      <c r="D12" s="38"/>
      <c r="E12" s="42" t="s">
        <v>44</v>
      </c>
      <c r="F12" s="39"/>
      <c r="G12" s="39"/>
      <c r="H12" s="39"/>
      <c r="I12" s="39"/>
      <c r="J12" s="42" t="s">
        <v>44</v>
      </c>
      <c r="K12" s="40" t="s">
        <v>45</v>
      </c>
      <c r="L12" s="40"/>
      <c r="M12" s="40"/>
      <c r="N12" s="40"/>
    </row>
    <row r="13" ht="16" customHeight="1" spans="1:14" x14ac:dyDescent="0.25">
      <c r="A13" s="38"/>
      <c r="B13" s="38"/>
      <c r="C13" s="38"/>
      <c r="D13" s="38"/>
      <c r="E13" s="42"/>
      <c r="F13" s="39"/>
      <c r="G13" s="39"/>
      <c r="H13" s="39"/>
      <c r="I13" s="39"/>
      <c r="J13" s="42"/>
      <c r="K13" s="40"/>
      <c r="L13" s="40"/>
      <c r="M13" s="40"/>
      <c r="N13" s="40"/>
    </row>
    <row r="14" ht="16" customHeight="1" spans="1:14" x14ac:dyDescent="0.25">
      <c r="A14" s="38"/>
      <c r="B14" s="38"/>
      <c r="C14" s="38"/>
      <c r="D14" s="38"/>
      <c r="E14" s="42"/>
      <c r="F14" s="39"/>
      <c r="G14" s="39"/>
      <c r="H14" s="39"/>
      <c r="I14" s="39"/>
      <c r="J14" s="42"/>
      <c r="K14" s="40"/>
      <c r="L14" s="40"/>
      <c r="M14" s="40"/>
      <c r="N14" s="40"/>
    </row>
    <row r="15" ht="16" customHeight="1" spans="1:14" x14ac:dyDescent="0.25">
      <c r="A15" s="38"/>
      <c r="B15" s="38"/>
      <c r="C15" s="38"/>
      <c r="D15" s="38"/>
      <c r="E15" s="42" t="s">
        <v>46</v>
      </c>
      <c r="F15" s="39"/>
      <c r="G15" s="39"/>
      <c r="H15" s="39"/>
      <c r="I15" s="39"/>
      <c r="J15" s="42" t="s">
        <v>46</v>
      </c>
      <c r="K15" s="40" t="s">
        <v>47</v>
      </c>
      <c r="L15" s="40"/>
      <c r="M15" s="40"/>
      <c r="N15" s="40"/>
    </row>
    <row r="16" ht="16" customHeight="1" spans="1:14" x14ac:dyDescent="0.25">
      <c r="A16" s="38"/>
      <c r="B16" s="38"/>
      <c r="C16" s="38"/>
      <c r="D16" s="38"/>
      <c r="E16" s="42"/>
      <c r="F16" s="39"/>
      <c r="G16" s="39"/>
      <c r="H16" s="39"/>
      <c r="I16" s="39"/>
      <c r="J16" s="42"/>
      <c r="K16" s="40"/>
      <c r="L16" s="40"/>
      <c r="M16" s="40"/>
      <c r="N16" s="40"/>
    </row>
    <row r="17" ht="16" customHeight="1" spans="1:14" x14ac:dyDescent="0.25">
      <c r="A17" s="38"/>
      <c r="B17" s="38"/>
      <c r="C17" s="38"/>
      <c r="D17" s="38"/>
      <c r="E17" s="42" t="s">
        <v>48</v>
      </c>
      <c r="F17" s="39"/>
      <c r="G17" s="39"/>
      <c r="H17" s="39"/>
      <c r="I17" s="39"/>
      <c r="J17" s="42" t="s">
        <v>48</v>
      </c>
      <c r="K17" s="40" t="s">
        <v>49</v>
      </c>
      <c r="L17" s="40"/>
      <c r="M17" s="40"/>
      <c r="N17" s="40"/>
    </row>
    <row r="18" ht="16" customHeight="1" spans="1:14" x14ac:dyDescent="0.25">
      <c r="A18" s="38"/>
      <c r="B18" s="38"/>
      <c r="C18" s="38"/>
      <c r="D18" s="38"/>
      <c r="E18" s="42"/>
      <c r="F18" s="39"/>
      <c r="G18" s="39"/>
      <c r="H18" s="39"/>
      <c r="I18" s="39"/>
      <c r="J18" s="42"/>
      <c r="K18" s="40"/>
      <c r="L18" s="40"/>
      <c r="M18" s="40"/>
      <c r="N18" s="40"/>
    </row>
    <row r="19" ht="16" customHeight="1" spans="1:14" x14ac:dyDescent="0.25">
      <c r="A19" s="38"/>
      <c r="B19" s="38"/>
      <c r="C19" s="38"/>
      <c r="D19" s="38"/>
      <c r="E19" s="42" t="s">
        <v>50</v>
      </c>
      <c r="F19" s="42"/>
      <c r="G19" s="42"/>
      <c r="H19" s="42"/>
      <c r="I19" s="42"/>
      <c r="J19" s="42"/>
      <c r="K19" s="40" t="s">
        <v>51</v>
      </c>
      <c r="L19" s="40"/>
      <c r="M19" s="40"/>
      <c r="N19" s="40"/>
    </row>
    <row r="20" ht="16" customHeight="1" spans="1:14" x14ac:dyDescent="0.25">
      <c r="A20" s="38"/>
      <c r="B20" s="38"/>
      <c r="C20" s="38"/>
      <c r="D20" s="38"/>
      <c r="E20" s="42"/>
      <c r="F20" s="42"/>
      <c r="G20" s="42"/>
      <c r="H20" s="42"/>
      <c r="I20" s="42"/>
      <c r="J20" s="42"/>
      <c r="K20" s="40"/>
      <c r="L20" s="40"/>
      <c r="M20" s="40"/>
      <c r="N20" s="40"/>
    </row>
    <row r="21" ht="16" customHeight="1" spans="1:14" x14ac:dyDescent="0.25">
      <c r="A21" s="38"/>
      <c r="B21" s="38"/>
      <c r="C21" s="38"/>
      <c r="D21" s="38"/>
      <c r="E21" s="42"/>
      <c r="F21" s="42"/>
      <c r="G21" s="42"/>
      <c r="H21" s="42"/>
      <c r="I21" s="42"/>
      <c r="J21" s="42"/>
      <c r="K21" s="40"/>
      <c r="L21" s="40"/>
      <c r="M21" s="40"/>
      <c r="N21" s="40"/>
    </row>
    <row r="22" ht="16" customHeight="1" spans="1:14" x14ac:dyDescent="0.25">
      <c r="A22" s="38"/>
      <c r="B22" s="38"/>
      <c r="C22" s="38"/>
      <c r="D22" s="38"/>
      <c r="E22" s="42"/>
      <c r="F22" s="42"/>
      <c r="G22" s="42"/>
      <c r="H22" s="42"/>
      <c r="I22" s="42"/>
      <c r="J22" s="42"/>
      <c r="K22" s="40"/>
      <c r="L22" s="40"/>
      <c r="M22" s="40"/>
      <c r="N22" s="40"/>
    </row>
    <row r="23" ht="16" customHeight="1" spans="1:14" x14ac:dyDescent="0.25">
      <c r="A23" s="38"/>
      <c r="B23" s="38"/>
      <c r="C23" s="38"/>
      <c r="D23" s="38"/>
      <c r="E23" s="42" t="s">
        <v>52</v>
      </c>
      <c r="F23" s="42"/>
      <c r="G23" s="42"/>
      <c r="H23" s="42"/>
      <c r="I23" s="42"/>
      <c r="J23" s="42"/>
      <c r="K23" s="40" t="s">
        <v>53</v>
      </c>
      <c r="L23" s="40"/>
      <c r="M23" s="40"/>
      <c r="N23" s="40"/>
    </row>
    <row r="24" ht="16" customHeight="1" spans="1:14" x14ac:dyDescent="0.25">
      <c r="A24" s="38"/>
      <c r="B24" s="38"/>
      <c r="C24" s="38"/>
      <c r="D24" s="38"/>
      <c r="E24" s="42"/>
      <c r="F24" s="42"/>
      <c r="G24" s="42"/>
      <c r="H24" s="42"/>
      <c r="I24" s="42"/>
      <c r="J24" s="42"/>
      <c r="K24" s="40"/>
      <c r="L24" s="40"/>
      <c r="M24" s="40"/>
      <c r="N24" s="40"/>
    </row>
    <row r="25" ht="16" customHeight="1" spans="1:15" x14ac:dyDescent="0.25">
      <c r="A25" s="44" t="s">
        <v>54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</row>
    <row r="26" ht="16" customHeight="1" spans="1:14" x14ac:dyDescent="0.25">
      <c r="A26" s="45" t="s">
        <v>10</v>
      </c>
      <c r="B26" s="45"/>
      <c r="C26" s="45" t="s">
        <v>55</v>
      </c>
      <c r="D26" s="45"/>
      <c r="E26" s="45"/>
      <c r="F26" s="45"/>
      <c r="G26" s="45" t="s">
        <v>56</v>
      </c>
      <c r="H26" s="45"/>
      <c r="I26" s="45"/>
      <c r="J26" s="45"/>
      <c r="K26" s="45" t="s">
        <v>13</v>
      </c>
      <c r="L26" s="45"/>
      <c r="M26" s="45"/>
      <c r="N26" s="45"/>
    </row>
    <row r="27" ht="16" customHeight="1" spans="1:14" x14ac:dyDescent="0.25">
      <c r="A27" s="46">
        <v>46296</v>
      </c>
      <c r="B27" s="46"/>
      <c r="C27" s="47" t="s">
        <v>18</v>
      </c>
      <c r="D27" s="47"/>
      <c r="E27" s="47"/>
      <c r="F27" s="47"/>
      <c r="G27" s="47" t="s">
        <v>19</v>
      </c>
      <c r="H27" s="47"/>
      <c r="I27" s="47"/>
      <c r="J27" s="47"/>
      <c r="K27" s="48">
        <v>1000</v>
      </c>
      <c r="L27" s="48"/>
      <c r="M27" s="48"/>
      <c r="N27" s="48"/>
    </row>
    <row r="28" ht="16" customHeight="1" spans="1:14" x14ac:dyDescent="0.25">
      <c r="A28" s="46">
        <v>46297</v>
      </c>
      <c r="B28" s="46"/>
      <c r="C28" s="47" t="s">
        <v>19</v>
      </c>
      <c r="D28" s="47"/>
      <c r="E28" s="47"/>
      <c r="F28" s="47"/>
      <c r="G28" s="47" t="s">
        <v>20</v>
      </c>
      <c r="H28" s="47"/>
      <c r="I28" s="47"/>
      <c r="J28" s="47"/>
      <c r="K28" s="48">
        <v>300</v>
      </c>
      <c r="L28" s="48"/>
      <c r="M28" s="48"/>
      <c r="N28" s="48"/>
    </row>
    <row r="29" ht="16" customHeight="1" spans="1:14" x14ac:dyDescent="0.25">
      <c r="A29" s="46">
        <v>46297</v>
      </c>
      <c r="B29" s="46"/>
      <c r="C29" s="47" t="s">
        <v>19</v>
      </c>
      <c r="D29" s="47"/>
      <c r="E29" s="47"/>
      <c r="F29" s="47"/>
      <c r="G29" s="47" t="s">
        <v>22</v>
      </c>
      <c r="H29" s="47"/>
      <c r="I29" s="47"/>
      <c r="J29" s="47"/>
      <c r="K29" s="48">
        <v>200</v>
      </c>
      <c r="L29" s="48"/>
      <c r="M29" s="48"/>
      <c r="N29" s="48"/>
    </row>
    <row r="30" ht="16" customHeight="1" spans="1:14" x14ac:dyDescent="0.25">
      <c r="A30" s="46">
        <v>46298</v>
      </c>
      <c r="B30" s="46"/>
      <c r="C30" s="47" t="s">
        <v>19</v>
      </c>
      <c r="D30" s="47"/>
      <c r="E30" s="47"/>
      <c r="F30" s="47"/>
      <c r="G30" s="47" t="s">
        <v>23</v>
      </c>
      <c r="H30" s="47"/>
      <c r="I30" s="47"/>
      <c r="J30" s="47"/>
      <c r="K30" s="48">
        <v>120</v>
      </c>
      <c r="L30" s="48"/>
      <c r="M30" s="48"/>
      <c r="N30" s="48"/>
    </row>
    <row r="31" ht="16" customHeight="1" spans="1:14" x14ac:dyDescent="0.25">
      <c r="A31" s="46">
        <v>46298</v>
      </c>
      <c r="B31" s="46"/>
      <c r="C31" s="47" t="s">
        <v>18</v>
      </c>
      <c r="D31" s="47"/>
      <c r="E31" s="47"/>
      <c r="F31" s="47"/>
      <c r="G31" s="47" t="s">
        <v>24</v>
      </c>
      <c r="H31" s="47"/>
      <c r="I31" s="47"/>
      <c r="J31" s="47"/>
      <c r="K31" s="48">
        <v>400</v>
      </c>
      <c r="L31" s="48"/>
      <c r="M31" s="48"/>
      <c r="N31" s="48"/>
    </row>
    <row r="32" ht="16" customHeight="1" spans="1:14" x14ac:dyDescent="0.25">
      <c r="A32" s="46">
        <v>46300</v>
      </c>
      <c r="B32" s="46"/>
      <c r="C32" s="47" t="s">
        <v>18</v>
      </c>
      <c r="D32" s="47"/>
      <c r="E32" s="47"/>
      <c r="F32" s="47"/>
      <c r="G32" s="47" t="s">
        <v>25</v>
      </c>
      <c r="H32" s="47"/>
      <c r="I32" s="47"/>
      <c r="J32" s="47"/>
      <c r="K32" s="48">
        <v>150</v>
      </c>
      <c r="L32" s="48"/>
      <c r="M32" s="48"/>
      <c r="N32" s="48"/>
    </row>
    <row r="33" ht="16" customHeight="1" spans="1:14" x14ac:dyDescent="0.25">
      <c r="A33" s="49" t="s">
        <v>57</v>
      </c>
      <c r="B33" s="49"/>
      <c r="C33" s="49"/>
      <c r="D33" s="49"/>
      <c r="E33" s="49"/>
      <c r="F33" s="49"/>
      <c r="G33" s="49"/>
      <c r="H33" s="49"/>
      <c r="I33" s="49"/>
      <c r="J33" s="49"/>
      <c r="K33" s="50">
        <v>2170</v>
      </c>
      <c r="L33" s="50"/>
      <c r="M33" s="50"/>
      <c r="N33" s="50"/>
    </row>
  </sheetData>
  <mergeCells count="56">
    <mergeCell ref="A1:O1"/>
    <mergeCell ref="A2:O2"/>
    <mergeCell ref="A4:D5"/>
    <mergeCell ref="F4:I5"/>
    <mergeCell ref="K4:N5"/>
    <mergeCell ref="A7:D7"/>
    <mergeCell ref="F7:I7"/>
    <mergeCell ref="K7:N7"/>
    <mergeCell ref="A8:D24"/>
    <mergeCell ref="F8:I18"/>
    <mergeCell ref="K8:N11"/>
    <mergeCell ref="E8:E11"/>
    <mergeCell ref="K12:N14"/>
    <mergeCell ref="E12:E14"/>
    <mergeCell ref="J12:J14"/>
    <mergeCell ref="K15:N16"/>
    <mergeCell ref="E15:E16"/>
    <mergeCell ref="J15:J16"/>
    <mergeCell ref="K17:N18"/>
    <mergeCell ref="E17:E18"/>
    <mergeCell ref="J17:J18"/>
    <mergeCell ref="E19:J22"/>
    <mergeCell ref="K19:N22"/>
    <mergeCell ref="E23:J24"/>
    <mergeCell ref="K23:N24"/>
    <mergeCell ref="A25:O25"/>
    <mergeCell ref="A26:B26"/>
    <mergeCell ref="C26:F26"/>
    <mergeCell ref="G26:J26"/>
    <mergeCell ref="K26:N26"/>
    <mergeCell ref="A27:B27"/>
    <mergeCell ref="C27:F27"/>
    <mergeCell ref="G27:J27"/>
    <mergeCell ref="K27:N27"/>
    <mergeCell ref="A28:B28"/>
    <mergeCell ref="C28:F28"/>
    <mergeCell ref="G28:J28"/>
    <mergeCell ref="K28:N28"/>
    <mergeCell ref="A29:B29"/>
    <mergeCell ref="C29:F29"/>
    <mergeCell ref="G29:J29"/>
    <mergeCell ref="K29:N29"/>
    <mergeCell ref="A30:B30"/>
    <mergeCell ref="C30:F30"/>
    <mergeCell ref="G30:J30"/>
    <mergeCell ref="K30:N30"/>
    <mergeCell ref="A31:B31"/>
    <mergeCell ref="C31:F31"/>
    <mergeCell ref="G31:J31"/>
    <mergeCell ref="K31:N31"/>
    <mergeCell ref="A32:B32"/>
    <mergeCell ref="C32:F32"/>
    <mergeCell ref="G32:J32"/>
    <mergeCell ref="K32:N32"/>
    <mergeCell ref="A33:J33"/>
    <mergeCell ref="K33:N33"/>
  </mergeCells>
  <pageMargins left="0.3" right="0.3" top="0.4" bottom="0.4" header="0" footer="0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Flujo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2026-10-22T21:11:17Z</dcterms:created>
  <dcterms:modified xsi:type="dcterms:W3CDTF">2026-10-22T21:11:17Z</dcterms:modified>
</cp:coreProperties>
</file>