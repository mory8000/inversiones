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  <sheet sheetId="3" name="Flujo" state="visible" r:id="rId6"/>
  </sheets>
  <definedNames>
    <definedName name="ListaNombres">OFFSET('Movimientos'!$F$6,0,0,MAX(COUNTA('Movimientos'!$F$6:$F$14),1),1)</definedName>
    <definedName name="_xlnm.Print_Area" localSheetId="0">'Movimientos'!$A1:$O22</definedName>
    <definedName name="_xlnm.Print_Titles" localSheetId="0">'Movimientos'!$1:$5</definedName>
    <definedName name="_xlnm.Print_Area" localSheetId="1">'Gráficos'!$A1:$O17</definedName>
    <definedName name="_xlnm.Print_Area" localSheetId="2">'Flujo'!$A1:$O35</definedName>
  </definedNames>
  <calcPr calcId="171027" fullCalcOnLoad="1"/>
</workbook>
</file>

<file path=xl/sharedStrings.xml><?xml version="1.0" encoding="utf-8"?>
<sst xmlns="http://schemas.openxmlformats.org/spreadsheetml/2006/main" count="105" uniqueCount="53">
  <si>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</si>
  <si>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</si>
  <si>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</si>
  <si>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</si>
  <si>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</si>
  <si>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</si>
  <si>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</si>
  <si>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</si>
  <si>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</si>
  <si>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</si>
  <si>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</si>
  <si>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</si>
  <si>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</si>
  <si>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</si>
  <si>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</si>
  <si>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</si>
  <si>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</si>
  <si>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</si>
  <si>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</si>
  <si>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</si>
  <si>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Vanguard Global Stock Index</t>
  </si>
  <si>
    <t>Marta</t>
  </si>
  <si>
    <t>Fidelity MSCI World Index</t>
  </si>
  <si>
    <t>Cartera indexada Metal</t>
  </si>
  <si>
    <t>Fondo indexado</t>
  </si>
  <si>
    <t>iShares Developed World Index</t>
  </si>
  <si>
    <t>Fondo ahorro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</si>
  <si>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</si>
  <si>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</si>
  <si>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</si>
  <si>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</si>
  <si>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En las inversiones se escribe la rentabilidad en % (la celda amarilla, como en la app) y el saldo se calcula solo. «Exterior» es el dinero que entra o sale de fuera. La hoja está protegida: solo se puede escribir en los movimientos, en las filas nuevas y en el %.</t>
  </si>
  <si>
    <t>Gráficos</t>
  </si>
  <si>
    <t>Todo sale de la hoja «Movimientos»: lo que cambies allí, cambia aquí.</t>
  </si>
  <si>
    <t>Flujo del dinero</t>
  </si>
  <si>
    <t>Cada línea es el viaje del dinero: de dónde sale, por dónde pasa y dónde acaba. Se dibuja con los movimientos de hoy: vuelve a descargar el Excel para tenerlo al día.</t>
  </si>
  <si>
    <t xml:space="preserve">Entra de fuera
1550,00 €</t>
  </si>
  <si>
    <t xml:space="preserve">Sigue en las cuentas
380,00 €</t>
  </si>
  <si>
    <t xml:space="preserve">Invertido
1170,00 €</t>
  </si>
  <si>
    <t>DE DÓNDE LLEGA</t>
  </si>
  <si>
    <t>POR DÓNDE PASA</t>
  </si>
  <si>
    <t>A DÓNDE VA</t>
  </si>
  <si>
    <t>400,00 €   ▶▶▶</t>
  </si>
  <si>
    <t>380,00 €   ▶</t>
  </si>
  <si>
    <t>Sigue en la cuenta</t>
  </si>
  <si>
    <t>300,00 €   ▶</t>
  </si>
  <si>
    <t>200,00 €   ▶</t>
  </si>
  <si>
    <t>150,00 €   ▶▶▶</t>
  </si>
  <si>
    <t>120,00 €   ▶</t>
  </si>
  <si>
    <t>Movimientos, uno a uno</t>
  </si>
  <si>
    <t>De</t>
  </si>
  <si>
    <t>A</t>
  </si>
  <si>
    <t>Total de los 6 movimientos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</si>
</sst>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1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64748B"/>
      <sz val="10"/>
    </font>
    <font>
      <b/>
      <color rgb="FF1D4ED8"/>
      <sz val="12"/>
    </font>
    <font>
      <color rgb="FF64748B"/>
      <sz val="10"/>
    </font>
    <font>
      <b/>
      <color rgb="FF0F172A"/>
      <sz val="12"/>
    </font>
  </fonts>
  <fills count="8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64748B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/>
    <xf numFmtId="0" fontId="8" fillId="0" borderId="1" xfId="0" applyFont="1" applyBorder="1" applyAlignment="1">
      <alignment indent="1"/>
    </xf>
    <xf numFmtId="166" fontId="8" fillId="0" borderId="1" xfId="0" applyNumberFormat="1" applyFont="1" applyBorder="1" applyProtection="1">
      <protection locked="0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 applyProtection="1">
      <alignment indent="1"/>
      <protection locked="0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20" fillId="0" borderId="0" xfId="0" applyFont="1" applyAlignment="1">
      <alignment vertical="center"/>
    </xf>
    <xf numFmtId="0" fontId="7" fillId="4" borderId="0" xfId="0" applyFont="1" applyFill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5" fontId="10" fillId="0" borderId="1" xfId="0" applyNumberFormat="1" applyFont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165" fontId="10" fillId="4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14">
    <dxf>
      <font>
        <color rgb="FFFFFFFF"/>
        <sz val="10"/>
      </font>
    </dxf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Movimientos!$H$16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Movimientos!$J$16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Movimientos!$K$16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Movimientos!$H$17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Movimientos!$J$17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Movimientos!$K$17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4</xdr:col>
      <xdr:colOff>0</xdr:colOff>
      <xdr:row>14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</xdr:row>
      <xdr:rowOff>0</xdr:rowOff>
    </xdr:from>
    <xdr:to>
      <xdr:col>10</xdr:col>
      <xdr:colOff>0</xdr:colOff>
      <xdr:row>14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46297</v>
      </c>
      <c r="B7" s="10" t="s">
        <v>19</v>
      </c>
      <c r="C7" s="10" t="s">
        <v>20</v>
      </c>
      <c r="D7" s="11">
        <v>300</v>
      </c>
      <c r="F7" s="14" t="s">
        <v>19</v>
      </c>
      <c r="G7" s="15" t="s">
        <v>21</v>
      </c>
      <c r="H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Myinvestor")&lt;=0,SUMPRODUCT(--($H8:$H10&lt;&gt;""))=0),"",SUMIFS($D$6:$D$505,$C$6:$C$505,"Cuenta Myinvestor")-SUMIFS($D$6:$D$505,$B$6:$B$505,"Cuenta Myinvestor"))),"")</f>
      </c>
      <c r="I7" s="17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Myinvestor")&lt;=0,SUMPRODUCT(--($H8:$H10&lt;&gt;""))=0),"",IF(OR($H7=0,$H7=""),"",$J7/$H7))),"")</f>
      </c>
      <c r="J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Myinvestor")&lt;=0,SUMPRODUCT(--($H8:$H10&lt;&gt;""))=0),"",IF(OR($H7="",$K7=""),"",$K7-$H7))),"")</f>
      </c>
      <c r="K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Myinvestor")&lt;=0,SUMPRODUCT(--($H8:$H10&lt;&gt;""))=0),"",SUMIFS($D$6:$D$505,$C$6:$C$505,"Cuenta Myinvestor")-SUMIFS($D$6:$D$505,$B$6:$B$505,"Cuenta Myinvestor"))),"")</f>
      </c>
    </row>
    <row r="8" spans="1:11" x14ac:dyDescent="0.25">
      <c r="A8" s="9">
        <v>46297</v>
      </c>
      <c r="B8" s="10" t="s">
        <v>19</v>
      </c>
      <c r="C8" s="10" t="s">
        <v>22</v>
      </c>
      <c r="D8" s="11">
        <v>200</v>
      </c>
      <c r="F8" s="18" t="s">
        <v>20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9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46298</v>
      </c>
      <c r="B9" s="10" t="s">
        <v>19</v>
      </c>
      <c r="C9" s="10" t="s">
        <v>23</v>
      </c>
      <c r="D9" s="11">
        <v>120</v>
      </c>
      <c r="F9" s="20" t="s">
        <v>22</v>
      </c>
      <c r="G9" s="15" t="s">
        <v>21</v>
      </c>
      <c r="H9" s="21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2"/>
      <c r="J9" s="21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1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46298</v>
      </c>
      <c r="B10" s="10" t="s">
        <v>18</v>
      </c>
      <c r="C10" s="10" t="s">
        <v>24</v>
      </c>
      <c r="D10" s="11">
        <v>400</v>
      </c>
      <c r="F10" s="20" t="s">
        <v>23</v>
      </c>
      <c r="G10" s="15" t="s">
        <v>21</v>
      </c>
      <c r="H10" s="21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2"/>
      <c r="J10" s="21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1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46300</v>
      </c>
      <c r="B11" s="10" t="s">
        <v>18</v>
      </c>
      <c r="C11" s="10" t="s">
        <v>25</v>
      </c>
      <c r="D11" s="11">
        <v>150</v>
      </c>
      <c r="F11" s="23" t="s">
        <v>24</v>
      </c>
      <c r="G11" s="15" t="s">
        <v>26</v>
      </c>
      <c r="H11" s="24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5"/>
      <c r="J11" s="24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4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3" t="s">
        <v>25</v>
      </c>
      <c r="G12" s="15" t="s">
        <v>26</v>
      </c>
      <c r="H12" s="24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5"/>
      <c r="J12" s="24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4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6"/>
      <c r="G13" s="27"/>
      <c r="H13" s="28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9"/>
      <c r="J13" s="28">
        <f>IFERROR(IF($F13="","",IF(AND(SUMIFS($D$6:$D$505,$C$6:$C$505,$F13)&gt;0,SUMIFS($D$6:$D$505,$C$6:$C$505,$F13)-SUMIFS($D$6:$D$505,$B$6:$B$505,$F13)&lt;=0),"",IF(OR($H13="",$K13=""),"",$K13-$H13))),"")</f>
      </c>
      <c r="K13" s="28">
        <f>IFERROR(IF($F13="","",IF(AND(SUMIFS($D$6:$D$505,$C$6:$C$505,$F13)&gt;0,SUMIFS($D$6:$D$505,$C$6:$C$505,$F13)-SUMIFS($D$6:$D$505,$B$6:$B$505,$F13)&lt;=0),"",IF(OR($H13="",$H13=0),"",IF($I13="",$H13,$H13*(1+$I13))))),"")</f>
      </c>
    </row>
    <row r="14" spans="1:11" x14ac:dyDescent="0.25">
      <c r="A14" s="9">
        <v>46317</v>
      </c>
      <c r="B14" s="10"/>
      <c r="C14" s="10"/>
      <c r="D14" s="11"/>
      <c r="F14" s="26"/>
      <c r="G14" s="27"/>
      <c r="H14" s="28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9"/>
      <c r="J14" s="28">
        <f>IFERROR(IF($F14="","",IF(AND(SUMIFS($D$6:$D$505,$C$6:$C$505,$F14)&gt;0,SUMIFS($D$6:$D$505,$C$6:$C$505,$F14)-SUMIFS($D$6:$D$505,$B$6:$B$505,$F14)&lt;=0),"",IF(OR($H14="",$K14=""),"",$K14-$H14))),"")</f>
      </c>
      <c r="K14" s="28">
        <f>IFERROR(IF($F14="","",IF(AND(SUMIFS($D$6:$D$505,$C$6:$C$505,$F14)&gt;0,SUMIFS($D$6:$D$505,$C$6:$C$505,$F14)-SUMIFS($D$6:$D$505,$B$6:$B$505,$F14)&lt;=0),"",IF(OR($H14="",$H14=0),"",IF($I14="",$H14,$H14*(1+$I14))))),"")</f>
      </c>
    </row>
    <row r="15" spans="1:4" x14ac:dyDescent="0.25">
      <c r="A15" s="9">
        <v>46317</v>
      </c>
      <c r="B15" s="10"/>
      <c r="C15" s="10"/>
      <c r="D15" s="11"/>
    </row>
    <row r="16" spans="1:11" x14ac:dyDescent="0.25">
      <c r="A16" s="9">
        <v>46317</v>
      </c>
      <c r="B16" s="10"/>
      <c r="C16" s="10"/>
      <c r="D16" s="11"/>
      <c r="F16" s="30" t="s">
        <v>27</v>
      </c>
      <c r="G16" s="31" t="s">
        <v>21</v>
      </c>
      <c r="H16" s="32">
        <f>IFERROR(IF(SUMIFS($H$6:$H$14,$G$6:$G$14,"Marta")=0,"",SUMIFS($H$6:$H$14,$G$6:$G$14,"Marta")),"")</f>
      </c>
      <c r="I16" s="33">
        <f>IFERROR(IF($H16=0,"",$J16/$H16),"")</f>
      </c>
      <c r="J16" s="32">
        <f>IFERROR(IF(SUMIFS($J$6:$J$14,$G$6:$G$14,"Marta")=0,"",SUMIFS($J$6:$J$14,$G$6:$G$14,"Marta")),"")</f>
      </c>
      <c r="K16" s="32">
        <f>IFERROR(IF(SUMIFS($K$6:$K$14,$G$6:$G$14,"Marta")=0,"",SUMIFS($K$6:$K$14,$G$6:$G$14,"Marta")),"")</f>
      </c>
    </row>
    <row r="17" spans="1:11" x14ac:dyDescent="0.25">
      <c r="A17" s="9">
        <v>46317</v>
      </c>
      <c r="B17" s="10"/>
      <c r="C17" s="10"/>
      <c r="D17" s="11"/>
      <c r="F17" s="30" t="s">
        <v>28</v>
      </c>
      <c r="G17" s="31" t="s">
        <v>26</v>
      </c>
      <c r="H17" s="32">
        <f>IFERROR(IF(SUMIFS($H$6:$H$14,$G$6:$G$14,"Fondo ahorro")=0,"",SUMIFS($H$6:$H$14,$G$6:$G$14,"Fondo ahorro")),"")</f>
      </c>
      <c r="I17" s="33">
        <f>IFERROR(IF($H17=0,"",$J17/$H17),"")</f>
      </c>
      <c r="J17" s="32">
        <f>IFERROR(IF(SUMIFS($J$6:$J$14,$G$6:$G$14,"Fondo ahorro")=0,"",SUMIFS($J$6:$J$14,$G$6:$G$14,"Fondo ahorro")),"")</f>
      </c>
      <c r="K17" s="32">
        <f>IFERROR(IF(SUMIFS($K$6:$K$14,$G$6:$G$14,"Fondo ahorro")=0,"",SUMIFS($K$6:$K$14,$G$6:$G$14,"Fondo ahorro")),"")</f>
      </c>
    </row>
    <row r="18" ht="18" customHeight="1" spans="1:11" x14ac:dyDescent="0.25">
      <c r="A18" s="9">
        <v>46317</v>
      </c>
      <c r="B18" s="10"/>
      <c r="C18" s="10"/>
      <c r="D18" s="11"/>
      <c r="F18" s="34" t="s">
        <v>29</v>
      </c>
      <c r="G18" s="34"/>
      <c r="H18" s="35">
        <f>IFERROR(IF(SUM($H$6:$H$14)=0,"",SUM($H$6:$H$14)),"")</f>
      </c>
      <c r="I18" s="36">
        <f>IFERROR(IF($H18=0,"",$J18/$H18),"")</f>
      </c>
      <c r="J18" s="35">
        <f>IFERROR(IF(SUM($J$6:$J$14)=0,"",SUM($J$6:$J$14)),"")</f>
      </c>
      <c r="K18" s="35">
        <f>IFERROR(IF(SUM($K$6:$K$14)=0,"",SUM($K$6:$K$14)),"")</f>
      </c>
    </row>
    <row r="19" spans="1:4" x14ac:dyDescent="0.25">
      <c r="A19" s="9">
        <v>46317</v>
      </c>
      <c r="B19" s="10"/>
      <c r="C19" s="10"/>
      <c r="D19" s="11"/>
    </row>
    <row r="20" spans="1:11" x14ac:dyDescent="0.25">
      <c r="A20" s="37" t="s">
        <v>30</v>
      </c>
      <c r="B20" s="37"/>
      <c r="C20" s="37"/>
      <c r="D20" s="37"/>
      <c r="E20" s="37"/>
      <c r="F20" s="37"/>
      <c r="G20" s="37"/>
      <c r="H20" s="37"/>
      <c r="I20" s="37"/>
      <c r="J20" s="37"/>
      <c r="K20" s="37"/>
    </row>
    <row r="21" spans="1:11" x14ac:dyDescent="0.25">
      <c r="A21" s="37" t="s">
        <v>31</v>
      </c>
      <c r="B21" s="37"/>
      <c r="C21" s="37"/>
      <c r="D21" s="37"/>
      <c r="E21" s="37"/>
      <c r="F21" s="37"/>
      <c r="G21" s="37"/>
      <c r="H21" s="37"/>
      <c r="I21" s="37"/>
      <c r="J21" s="37"/>
      <c r="K21" s="37"/>
    </row>
    <row r="22" spans="1:4" x14ac:dyDescent="0.25">
      <c r="A22" s="9">
        <v>46317</v>
      </c>
      <c r="B22" s="10"/>
      <c r="C22" s="10"/>
      <c r="D22" s="11"/>
    </row>
    <row r="23" spans="1:4" x14ac:dyDescent="0.25">
      <c r="A23" s="9">
        <v>46317</v>
      </c>
      <c r="B23" s="10"/>
      <c r="C23" s="10"/>
      <c r="D23" s="11"/>
    </row>
    <row r="24" spans="1:4" x14ac:dyDescent="0.25">
      <c r="A24" s="9">
        <v>46317</v>
      </c>
      <c r="B24" s="10"/>
      <c r="C24" s="10"/>
      <c r="D24" s="11"/>
    </row>
    <row r="25" spans="1:4" x14ac:dyDescent="0.25">
      <c r="A25" s="9">
        <v>46317</v>
      </c>
      <c r="B25" s="10"/>
      <c r="C25" s="10"/>
      <c r="D25" s="11"/>
    </row>
    <row r="26" spans="1:4" x14ac:dyDescent="0.25">
      <c r="A26" s="9">
        <v>46317</v>
      </c>
      <c r="B26" s="10"/>
      <c r="C26" s="10"/>
      <c r="D26" s="11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0:K20"/>
    <mergeCell ref="A21:K21"/>
  </mergeCells>
  <conditionalFormatting sqref="A6:D505">
    <cfRule type="expression" dxfId="0" priority="1">
      <formula>AND($D6&lt;&gt;"",$D6=0)</formula>
    </cfRule>
    <cfRule type="expression" dxfId="1" priority="2">
      <formula>AND($D5&lt;&gt;"",$D6="")</formula>
    </cfRule>
    <cfRule type="expression" dxfId="2" priority="3">
      <formula>$D5&lt;&gt;""</formula>
    </cfRule>
    <cfRule type="expression" dxfId="3" priority="4">
      <formula>$D5=""</formula>
    </cfRule>
  </conditionalFormatting>
  <conditionalFormatting sqref="F13:K14">
    <cfRule type="expression" dxfId="4" priority="1">
      <formula>$F13&lt;&gt;""</formula>
    </cfRule>
    <cfRule type="expression" dxfId="5" priority="2">
      <formula>AND($F12&lt;&gt;"",$F13="")</formula>
    </cfRule>
    <cfRule type="expression" dxfId="6" priority="3">
      <formula>$F12=""</formula>
    </cfRule>
  </conditionalFormatting>
  <conditionalFormatting sqref="I13:I14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4">
    <cfRule type="expression" dxfId="10" priority="6">
      <formula>AND($F9&lt;&gt;"",$G9="Marta")</formula>
    </cfRule>
    <cfRule type="expression" dxfId="11" priority="7">
      <formula>AND($F9&lt;&gt;"",$G9="Fondo ahorro")</formula>
    </cfRule>
  </conditionalFormatting>
  <conditionalFormatting sqref="I6:J14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decimal" operator="greaterThan" allowBlank="1" sqref="D6:D5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17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8" t="s">
        <v>32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ht="20" customHeight="1" spans="1:15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</sheetData>
  <mergeCells count="2">
    <mergeCell ref="A1:O1"/>
    <mergeCell ref="A2:O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35"/>
  <sheetViews>
    <sheetView workbookViewId="0" showGridLines="0"/>
  </sheetViews>
  <sheetFormatPr defaultRowHeight="15" outlineLevelRow="0" outlineLevelCol="0" x14ac:dyDescent="55"/>
  <cols>
    <col min="1" max="4" width="22" customWidth="1"/>
    <col min="5" max="5" width="13" customWidth="1"/>
    <col min="6" max="9" width="22" customWidth="1"/>
    <col min="10" max="10" width="13" customWidth="1"/>
    <col min="11" max="14" width="22" customWidth="1"/>
    <col min="15" max="15" width="3" customWidth="1"/>
  </cols>
  <sheetData>
    <row r="1" ht="20" customHeight="1" spans="1:15" x14ac:dyDescent="0.25">
      <c r="A1" s="38" t="s">
        <v>34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ht="20" customHeight="1" spans="1:15" x14ac:dyDescent="0.25">
      <c r="A2" s="5" t="s">
        <v>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8" customHeight="1" x14ac:dyDescent="0.25"/>
    <row r="4" ht="20" customHeight="1" spans="1:14" x14ac:dyDescent="0.25">
      <c r="A4" s="39" t="s">
        <v>36</v>
      </c>
      <c r="B4" s="39"/>
      <c r="C4" s="39"/>
      <c r="D4" s="39"/>
      <c r="F4" s="40" t="s">
        <v>37</v>
      </c>
      <c r="G4" s="40"/>
      <c r="H4" s="40"/>
      <c r="I4" s="40"/>
      <c r="K4" s="41" t="s">
        <v>38</v>
      </c>
      <c r="L4" s="41"/>
      <c r="M4" s="41"/>
      <c r="N4" s="41"/>
    </row>
    <row r="5" ht="20" customHeight="1" spans="1:14" x14ac:dyDescent="0.25">
      <c r="A5" s="39"/>
      <c r="B5" s="39"/>
      <c r="C5" s="39"/>
      <c r="D5" s="39"/>
      <c r="F5" s="40"/>
      <c r="G5" s="40"/>
      <c r="H5" s="40"/>
      <c r="I5" s="40"/>
      <c r="K5" s="41"/>
      <c r="L5" s="41"/>
      <c r="M5" s="41"/>
      <c r="N5" s="41"/>
    </row>
    <row r="6" ht="8" customHeight="1" x14ac:dyDescent="0.25"/>
    <row r="7" ht="20" customHeight="1" spans="1:14" x14ac:dyDescent="0.25">
      <c r="A7" s="42" t="s">
        <v>39</v>
      </c>
      <c r="B7" s="42"/>
      <c r="C7" s="42"/>
      <c r="D7" s="42"/>
      <c r="F7" s="42" t="s">
        <v>40</v>
      </c>
      <c r="G7" s="42"/>
      <c r="H7" s="42"/>
      <c r="I7" s="42"/>
      <c r="K7" s="42" t="s">
        <v>41</v>
      </c>
      <c r="L7" s="42"/>
      <c r="M7" s="42"/>
      <c r="N7" s="42"/>
    </row>
    <row r="8" ht="20" customHeight="1" spans="1:14" x14ac:dyDescent="0.25">
      <c r="A8" s="43" t="s">
        <v>18</v>
      </c>
      <c r="B8" s="43"/>
      <c r="C8" s="43"/>
      <c r="D8" s="43"/>
      <c r="E8" s="44" t="s">
        <v>42</v>
      </c>
      <c r="F8" s="44"/>
      <c r="G8" s="44"/>
      <c r="H8" s="44"/>
      <c r="I8" s="44"/>
      <c r="J8" s="44"/>
      <c r="K8" s="45" t="s">
        <v>24</v>
      </c>
      <c r="L8" s="45"/>
      <c r="M8" s="45"/>
      <c r="N8" s="45"/>
    </row>
    <row r="9" ht="20" customHeight="1" spans="1:14" x14ac:dyDescent="0.25">
      <c r="A9" s="43"/>
      <c r="B9" s="43"/>
      <c r="C9" s="43"/>
      <c r="D9" s="43"/>
      <c r="E9" s="44"/>
      <c r="F9" s="44"/>
      <c r="G9" s="44"/>
      <c r="H9" s="44"/>
      <c r="I9" s="44"/>
      <c r="J9" s="44"/>
      <c r="K9" s="45"/>
      <c r="L9" s="45"/>
      <c r="M9" s="45"/>
      <c r="N9" s="45"/>
    </row>
    <row r="10" ht="7" customHeight="1" x14ac:dyDescent="0.25"/>
    <row r="11" ht="20" customHeight="1" spans="1:14" x14ac:dyDescent="0.25">
      <c r="A11" s="43" t="s">
        <v>18</v>
      </c>
      <c r="B11" s="43"/>
      <c r="C11" s="43"/>
      <c r="D11" s="43"/>
      <c r="E11" s="44" t="s">
        <v>43</v>
      </c>
      <c r="F11" s="46" t="s">
        <v>19</v>
      </c>
      <c r="G11" s="46"/>
      <c r="H11" s="46"/>
      <c r="I11" s="46"/>
      <c r="K11" s="47" t="s">
        <v>44</v>
      </c>
      <c r="L11" s="47"/>
      <c r="M11" s="47"/>
      <c r="N11" s="47"/>
    </row>
    <row r="12" ht="20" customHeight="1" spans="1:14" x14ac:dyDescent="0.25">
      <c r="A12" s="43"/>
      <c r="B12" s="43"/>
      <c r="C12" s="43"/>
      <c r="D12" s="43"/>
      <c r="E12" s="44"/>
      <c r="F12" s="46"/>
      <c r="G12" s="46"/>
      <c r="H12" s="46"/>
      <c r="I12" s="46"/>
      <c r="K12" s="47"/>
      <c r="L12" s="47"/>
      <c r="M12" s="47"/>
      <c r="N12" s="47"/>
    </row>
    <row r="13" ht="7" customHeight="1" x14ac:dyDescent="0.25"/>
    <row r="14" ht="20" customHeight="1" spans="1:14" x14ac:dyDescent="0.25">
      <c r="A14" s="43" t="s">
        <v>18</v>
      </c>
      <c r="B14" s="43"/>
      <c r="C14" s="43"/>
      <c r="D14" s="43"/>
      <c r="E14" s="44" t="s">
        <v>45</v>
      </c>
      <c r="F14" s="46" t="s">
        <v>19</v>
      </c>
      <c r="G14" s="46"/>
      <c r="H14" s="46"/>
      <c r="I14" s="46"/>
      <c r="J14" s="44" t="s">
        <v>45</v>
      </c>
      <c r="K14" s="45" t="s">
        <v>20</v>
      </c>
      <c r="L14" s="45"/>
      <c r="M14" s="45"/>
      <c r="N14" s="45"/>
    </row>
    <row r="15" ht="20" customHeight="1" spans="1:14" x14ac:dyDescent="0.25">
      <c r="A15" s="43"/>
      <c r="B15" s="43"/>
      <c r="C15" s="43"/>
      <c r="D15" s="43"/>
      <c r="E15" s="44"/>
      <c r="F15" s="46"/>
      <c r="G15" s="46"/>
      <c r="H15" s="46"/>
      <c r="I15" s="46"/>
      <c r="J15" s="44"/>
      <c r="K15" s="45"/>
      <c r="L15" s="45"/>
      <c r="M15" s="45"/>
      <c r="N15" s="45"/>
    </row>
    <row r="16" ht="7" customHeight="1" x14ac:dyDescent="0.25"/>
    <row r="17" ht="20" customHeight="1" spans="1:14" x14ac:dyDescent="0.25">
      <c r="A17" s="43" t="s">
        <v>18</v>
      </c>
      <c r="B17" s="43"/>
      <c r="C17" s="43"/>
      <c r="D17" s="43"/>
      <c r="E17" s="44" t="s">
        <v>46</v>
      </c>
      <c r="F17" s="46" t="s">
        <v>19</v>
      </c>
      <c r="G17" s="46"/>
      <c r="H17" s="46"/>
      <c r="I17" s="46"/>
      <c r="J17" s="44" t="s">
        <v>46</v>
      </c>
      <c r="K17" s="45" t="s">
        <v>22</v>
      </c>
      <c r="L17" s="45"/>
      <c r="M17" s="45"/>
      <c r="N17" s="45"/>
    </row>
    <row r="18" ht="20" customHeight="1" spans="1:14" x14ac:dyDescent="0.25">
      <c r="A18" s="43"/>
      <c r="B18" s="43"/>
      <c r="C18" s="43"/>
      <c r="D18" s="43"/>
      <c r="E18" s="44"/>
      <c r="F18" s="46"/>
      <c r="G18" s="46"/>
      <c r="H18" s="46"/>
      <c r="I18" s="46"/>
      <c r="J18" s="44"/>
      <c r="K18" s="45"/>
      <c r="L18" s="45"/>
      <c r="M18" s="45"/>
      <c r="N18" s="45"/>
    </row>
    <row r="19" ht="7" customHeight="1" x14ac:dyDescent="0.25"/>
    <row r="20" ht="20" customHeight="1" spans="1:14" x14ac:dyDescent="0.25">
      <c r="A20" s="43" t="s">
        <v>18</v>
      </c>
      <c r="B20" s="43"/>
      <c r="C20" s="43"/>
      <c r="D20" s="43"/>
      <c r="E20" s="44" t="s">
        <v>47</v>
      </c>
      <c r="F20" s="44"/>
      <c r="G20" s="44"/>
      <c r="H20" s="44"/>
      <c r="I20" s="44"/>
      <c r="J20" s="44"/>
      <c r="K20" s="45" t="s">
        <v>25</v>
      </c>
      <c r="L20" s="45"/>
      <c r="M20" s="45"/>
      <c r="N20" s="45"/>
    </row>
    <row r="21" ht="20" customHeight="1" spans="1:14" x14ac:dyDescent="0.25">
      <c r="A21" s="43"/>
      <c r="B21" s="43"/>
      <c r="C21" s="43"/>
      <c r="D21" s="43"/>
      <c r="E21" s="44"/>
      <c r="F21" s="44"/>
      <c r="G21" s="44"/>
      <c r="H21" s="44"/>
      <c r="I21" s="44"/>
      <c r="J21" s="44"/>
      <c r="K21" s="45"/>
      <c r="L21" s="45"/>
      <c r="M21" s="45"/>
      <c r="N21" s="45"/>
    </row>
    <row r="22" ht="7" customHeight="1" x14ac:dyDescent="0.25"/>
    <row r="23" ht="20" customHeight="1" spans="1:14" x14ac:dyDescent="0.25">
      <c r="A23" s="43" t="s">
        <v>18</v>
      </c>
      <c r="B23" s="43"/>
      <c r="C23" s="43"/>
      <c r="D23" s="43"/>
      <c r="E23" s="44" t="s">
        <v>48</v>
      </c>
      <c r="F23" s="46" t="s">
        <v>19</v>
      </c>
      <c r="G23" s="46"/>
      <c r="H23" s="46"/>
      <c r="I23" s="46"/>
      <c r="J23" s="44" t="s">
        <v>48</v>
      </c>
      <c r="K23" s="45" t="s">
        <v>23</v>
      </c>
      <c r="L23" s="45"/>
      <c r="M23" s="45"/>
      <c r="N23" s="45"/>
    </row>
    <row r="24" ht="20" customHeight="1" spans="1:14" x14ac:dyDescent="0.25">
      <c r="A24" s="43"/>
      <c r="B24" s="43"/>
      <c r="C24" s="43"/>
      <c r="D24" s="43"/>
      <c r="E24" s="44"/>
      <c r="F24" s="46"/>
      <c r="G24" s="46"/>
      <c r="H24" s="46"/>
      <c r="I24" s="46"/>
      <c r="J24" s="44"/>
      <c r="K24" s="45"/>
      <c r="L24" s="45"/>
      <c r="M24" s="45"/>
      <c r="N24" s="45"/>
    </row>
    <row r="25" ht="7" customHeight="1" x14ac:dyDescent="0.25"/>
    <row r="26" ht="20" customHeight="1" x14ac:dyDescent="0.25"/>
    <row r="27" ht="20" customHeight="1" spans="1:15" x14ac:dyDescent="0.25">
      <c r="A27" s="48" t="s">
        <v>49</v>
      </c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</row>
    <row r="28" ht="20" customHeight="1" spans="1:14" x14ac:dyDescent="0.25">
      <c r="A28" s="49" t="s">
        <v>10</v>
      </c>
      <c r="B28" s="49"/>
      <c r="C28" s="49" t="s">
        <v>50</v>
      </c>
      <c r="D28" s="49"/>
      <c r="E28" s="49"/>
      <c r="F28" s="49"/>
      <c r="G28" s="49" t="s">
        <v>51</v>
      </c>
      <c r="H28" s="49"/>
      <c r="I28" s="49"/>
      <c r="J28" s="49"/>
      <c r="K28" s="49" t="s">
        <v>13</v>
      </c>
      <c r="L28" s="49"/>
      <c r="M28" s="49"/>
      <c r="N28" s="49"/>
    </row>
    <row r="29" ht="20" customHeight="1" spans="1:14" x14ac:dyDescent="0.25">
      <c r="A29" s="50">
        <v>46296</v>
      </c>
      <c r="B29" s="50"/>
      <c r="C29" s="51" t="s">
        <v>18</v>
      </c>
      <c r="D29" s="51"/>
      <c r="E29" s="51"/>
      <c r="F29" s="51"/>
      <c r="G29" s="51" t="s">
        <v>19</v>
      </c>
      <c r="H29" s="51"/>
      <c r="I29" s="51"/>
      <c r="J29" s="51"/>
      <c r="K29" s="52">
        <v>1000</v>
      </c>
      <c r="L29" s="52"/>
      <c r="M29" s="52"/>
      <c r="N29" s="52"/>
    </row>
    <row r="30" ht="20" customHeight="1" spans="1:14" x14ac:dyDescent="0.25">
      <c r="A30" s="50">
        <v>46297</v>
      </c>
      <c r="B30" s="50"/>
      <c r="C30" s="51" t="s">
        <v>19</v>
      </c>
      <c r="D30" s="51"/>
      <c r="E30" s="51"/>
      <c r="F30" s="51"/>
      <c r="G30" s="51" t="s">
        <v>20</v>
      </c>
      <c r="H30" s="51"/>
      <c r="I30" s="51"/>
      <c r="J30" s="51"/>
      <c r="K30" s="52">
        <v>300</v>
      </c>
      <c r="L30" s="52"/>
      <c r="M30" s="52"/>
      <c r="N30" s="52"/>
    </row>
    <row r="31" ht="20" customHeight="1" spans="1:14" x14ac:dyDescent="0.25">
      <c r="A31" s="50">
        <v>46297</v>
      </c>
      <c r="B31" s="50"/>
      <c r="C31" s="51" t="s">
        <v>19</v>
      </c>
      <c r="D31" s="51"/>
      <c r="E31" s="51"/>
      <c r="F31" s="51"/>
      <c r="G31" s="51" t="s">
        <v>22</v>
      </c>
      <c r="H31" s="51"/>
      <c r="I31" s="51"/>
      <c r="J31" s="51"/>
      <c r="K31" s="52">
        <v>200</v>
      </c>
      <c r="L31" s="52"/>
      <c r="M31" s="52"/>
      <c r="N31" s="52"/>
    </row>
    <row r="32" ht="20" customHeight="1" spans="1:14" x14ac:dyDescent="0.25">
      <c r="A32" s="50">
        <v>46298</v>
      </c>
      <c r="B32" s="50"/>
      <c r="C32" s="51" t="s">
        <v>19</v>
      </c>
      <c r="D32" s="51"/>
      <c r="E32" s="51"/>
      <c r="F32" s="51"/>
      <c r="G32" s="51" t="s">
        <v>23</v>
      </c>
      <c r="H32" s="51"/>
      <c r="I32" s="51"/>
      <c r="J32" s="51"/>
      <c r="K32" s="52">
        <v>120</v>
      </c>
      <c r="L32" s="52"/>
      <c r="M32" s="52"/>
      <c r="N32" s="52"/>
    </row>
    <row r="33" ht="20" customHeight="1" spans="1:14" x14ac:dyDescent="0.25">
      <c r="A33" s="50">
        <v>46298</v>
      </c>
      <c r="B33" s="50"/>
      <c r="C33" s="51" t="s">
        <v>18</v>
      </c>
      <c r="D33" s="51"/>
      <c r="E33" s="51"/>
      <c r="F33" s="51"/>
      <c r="G33" s="51" t="s">
        <v>24</v>
      </c>
      <c r="H33" s="51"/>
      <c r="I33" s="51"/>
      <c r="J33" s="51"/>
      <c r="K33" s="52">
        <v>400</v>
      </c>
      <c r="L33" s="52"/>
      <c r="M33" s="52"/>
      <c r="N33" s="52"/>
    </row>
    <row r="34" ht="20" customHeight="1" spans="1:14" x14ac:dyDescent="0.25">
      <c r="A34" s="50">
        <v>46300</v>
      </c>
      <c r="B34" s="50"/>
      <c r="C34" s="51" t="s">
        <v>18</v>
      </c>
      <c r="D34" s="51"/>
      <c r="E34" s="51"/>
      <c r="F34" s="51"/>
      <c r="G34" s="51" t="s">
        <v>25</v>
      </c>
      <c r="H34" s="51"/>
      <c r="I34" s="51"/>
      <c r="J34" s="51"/>
      <c r="K34" s="52">
        <v>150</v>
      </c>
      <c r="L34" s="52"/>
      <c r="M34" s="52"/>
      <c r="N34" s="52"/>
    </row>
    <row r="35" ht="20" customHeight="1" spans="1:14" x14ac:dyDescent="0.25">
      <c r="A35" s="53" t="s">
        <v>52</v>
      </c>
      <c r="B35" s="53"/>
      <c r="C35" s="53"/>
      <c r="D35" s="53"/>
      <c r="E35" s="53"/>
      <c r="F35" s="53"/>
      <c r="G35" s="53"/>
      <c r="H35" s="53"/>
      <c r="I35" s="53"/>
      <c r="J35" s="53"/>
      <c r="K35" s="54">
        <v>2170</v>
      </c>
      <c r="L35" s="54"/>
      <c r="M35" s="54"/>
      <c r="N35" s="54"/>
    </row>
  </sheetData>
  <mergeCells count="64">
    <mergeCell ref="A1:O1"/>
    <mergeCell ref="A2:O2"/>
    <mergeCell ref="A4:D5"/>
    <mergeCell ref="F4:I5"/>
    <mergeCell ref="K4:N5"/>
    <mergeCell ref="A7:D7"/>
    <mergeCell ref="F7:I7"/>
    <mergeCell ref="K7:N7"/>
    <mergeCell ref="A8:D9"/>
    <mergeCell ref="E8:J9"/>
    <mergeCell ref="K8:N9"/>
    <mergeCell ref="A11:D12"/>
    <mergeCell ref="F11:I12"/>
    <mergeCell ref="K11:N12"/>
    <mergeCell ref="E11:E12"/>
    <mergeCell ref="A14:D15"/>
    <mergeCell ref="F14:I15"/>
    <mergeCell ref="K14:N15"/>
    <mergeCell ref="E14:E15"/>
    <mergeCell ref="J14:J15"/>
    <mergeCell ref="A17:D18"/>
    <mergeCell ref="F17:I18"/>
    <mergeCell ref="K17:N18"/>
    <mergeCell ref="E17:E18"/>
    <mergeCell ref="J17:J18"/>
    <mergeCell ref="A20:D21"/>
    <mergeCell ref="E20:J21"/>
    <mergeCell ref="K20:N21"/>
    <mergeCell ref="A23:D24"/>
    <mergeCell ref="F23:I24"/>
    <mergeCell ref="K23:N24"/>
    <mergeCell ref="E23:E24"/>
    <mergeCell ref="J23:J24"/>
    <mergeCell ref="A27:O27"/>
    <mergeCell ref="A28:B28"/>
    <mergeCell ref="C28:F28"/>
    <mergeCell ref="G28:J28"/>
    <mergeCell ref="K28:N28"/>
    <mergeCell ref="A29:B29"/>
    <mergeCell ref="C29:F29"/>
    <mergeCell ref="G29:J29"/>
    <mergeCell ref="K29:N29"/>
    <mergeCell ref="A30:B30"/>
    <mergeCell ref="C30:F30"/>
    <mergeCell ref="G30:J30"/>
    <mergeCell ref="K30:N30"/>
    <mergeCell ref="A31:B31"/>
    <mergeCell ref="C31:F31"/>
    <mergeCell ref="G31:J31"/>
    <mergeCell ref="K31:N31"/>
    <mergeCell ref="A32:B32"/>
    <mergeCell ref="C32:F32"/>
    <mergeCell ref="G32:J32"/>
    <mergeCell ref="K32:N32"/>
    <mergeCell ref="A33:B33"/>
    <mergeCell ref="C33:F33"/>
    <mergeCell ref="G33:J33"/>
    <mergeCell ref="K33:N33"/>
    <mergeCell ref="A34:B34"/>
    <mergeCell ref="C34:F34"/>
    <mergeCell ref="G34:J34"/>
    <mergeCell ref="K34:N34"/>
    <mergeCell ref="A35:J35"/>
    <mergeCell ref="K35:N35"/>
  </mergeCells>
  <pageMargins left="0.3" right="0.3" top="0.4" bottom="0.4" header="0" footer="0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Movimientos</vt:lpstr>
      <vt:lpstr>Gráficos</vt:lpstr>
      <vt:lpstr>Flujo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2026-10-22T20:30:00Z</dcterms:created>
  <dcterms:modified xsi:type="dcterms:W3CDTF">2026-10-22T20:30:00Z</dcterms:modified>
</cp:coreProperties>
</file>