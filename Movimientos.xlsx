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ListaNombres">OFFSET('Movimientos'!$F$6,0,0,MAX(COUNTA('Movimientos'!$F$6:$F$17),1),1)</definedName>
    <definedName name="_xlnm.Print_Area" localSheetId="0">'Movimientos'!$A1:$O128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<sst xmlns="http://schemas.openxmlformats.org/spreadsheetml/2006/main" count="46" uniqueCount="35">
  <si>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</si>
  <si>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</si>
  <si>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</si>
  <si>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</si>
  <si>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</si>
  <si>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</si>
  <si>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</si>
  <si>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</si>
  <si>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</si>
  <si>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</si>
  <si>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</si>
  <si>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</si>
  <si>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</si>
  <si>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</si>
  <si>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</si>
  <si>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</si>
  <si>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</si>
  <si>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</si>
  <si>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</si>
  <si>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</si>
  <si>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</si>
  <si>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</si>
  <si>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</si>
  <si>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</si>
  <si>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</si>
  <si>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</t>
  </si>
  <si>
    <t>Cuenta ahorro · ING</t>
  </si>
  <si>
    <t>Fondo indexado</t>
  </si>
  <si>
    <t>Fondo ahorro</t>
  </si>
  <si>
    <t>iShares Developed World Index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</si>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</sst>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7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6" fontId="11" fillId="0" borderId="1" xfId="0" applyNumberFormat="1" applyFont="1" applyBorder="1"/>
    <xf numFmtId="0" fontId="13" fillId="0" borderId="1" xfId="0" applyFont="1" applyBorder="1" applyAlignment="1"/>
    <xf numFmtId="165" fontId="13" fillId="0" borderId="1" xfId="0" applyNumberFormat="1" applyFont="1" applyBorder="1"/>
    <xf numFmtId="166" fontId="13" fillId="0" borderId="1" xfId="0" applyNumberFormat="1" applyFont="1" applyBorder="1" applyProtection="1">
      <protection locked="0"/>
    </xf>
    <xf numFmtId="0" fontId="14" fillId="0" borderId="0" xfId="0" applyFont="1" applyAlignment="1" applyProtection="1">
      <alignment indent="1"/>
      <protection locked="0"/>
    </xf>
    <xf numFmtId="0" fontId="15" fillId="0" borderId="0" xfId="0" applyFont="1" applyAlignment="1" applyProtection="1">
      <alignment horizontal="center"/>
      <protection locked="0"/>
    </xf>
    <xf numFmtId="165" fontId="14" fillId="0" borderId="0" xfId="0" applyNumberFormat="1" applyFont="1"/>
    <xf numFmtId="166" fontId="14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6" fillId="4" borderId="0" xfId="0" applyNumberFormat="1" applyFont="1" applyFill="1" applyAlignment="1">
      <alignment horizontal="right"/>
    </xf>
    <xf numFmtId="166" fontId="16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</cellXfs>
  <cellStyles count="1">
    <cellStyle name="Normal" xfId="0" builtinId="0"/>
  </cellStyles>
  <dxfs count="13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Aportado neto y beneficio / pérdida por titular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Movimientos!$H$19:$H$20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Movimientos!$J$19:$J$20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Marta: inversión por inversión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5"/>
              <c:pt idx="0">
                <c:v>Vanguard Global Stock Index</c:v>
              </c:pt>
              <c:pt idx="1">
                <c:v>Fidelity MSCI World Index</c:v>
              </c:pt>
              <c:pt idx="2">
                <c:v>Cartera indexada Metal</c:v>
              </c:pt>
              <c:pt idx="3">
                <c:v>Depósito 12 meses</c:v>
              </c:pt>
              <c:pt idx="4">
                <c:v>Plan de pensiones indexado</c:v>
              </c:pt>
            </c:strLit>
          </c:cat>
          <c:val>
            <c:numRef>
              <c:f>Movimientos!$H$8:$H$12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5"/>
              <c:pt idx="0">
                <c:v>Vanguard Global Stock Index</c:v>
              </c:pt>
              <c:pt idx="1">
                <c:v>Fidelity MSCI World Index</c:v>
              </c:pt>
              <c:pt idx="2">
                <c:v>Cartera indexada Metal</c:v>
              </c:pt>
              <c:pt idx="3">
                <c:v>Depósito 12 meses</c:v>
              </c:pt>
              <c:pt idx="4">
                <c:v>Plan de pensiones indexado</c:v>
              </c:pt>
            </c:strLit>
          </c:cat>
          <c:val>
            <c:numRef>
              <c:f>Movimientos!$J$8:$J$12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ahorro: inversión por inversión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Movimientos!$H$14:$H$15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Movimientos!$J$14:$J$15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0</xdr:colOff>
      <xdr:row>56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14</xdr:col>
      <xdr:colOff>0</xdr:colOff>
      <xdr:row>56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58</xdr:row>
      <xdr:rowOff>0</xdr:rowOff>
    </xdr:from>
    <xdr:to>
      <xdr:col>6</xdr:col>
      <xdr:colOff>0</xdr:colOff>
      <xdr:row>88</xdr:row>
      <xdr:rowOff>0</xdr:rowOff>
    </xdr:to>
    <xdr:graphicFrame macro="">
      <xdr:nvGraphicFramePr>
        <xdr:cNvPr id="4" name="Gra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14</xdr:col>
      <xdr:colOff>0</xdr:colOff>
      <xdr:row>127</xdr:row>
      <xdr:rowOff>0</xdr:rowOff>
    </xdr:to>
    <xdr:grpSp>
      <xdr:nvGrpSpPr>
        <xdr:cNvPr id="1" name="Flujo del dinero"/>
        <xdr:cNvGrpSpPr/>
      </xdr:nvGrpSpPr>
      <xdr:grpSpPr>
        <a:xfrm>
          <a:off x="0" y="0"/>
          <a:ext cx="15182850" cy="6667500"/>
          <a:chOff x="0" y="0"/>
          <a:chExt cx="15182850" cy="6667500"/>
        </a:xfrm>
      </xdr:grpSpPr>
      <xdr:sp>
        <xdr:nvSpPr>
          <xdr:cNvPr id="1" name="Titulo del flujo"/>
          <xdr:cNvSpPr/>
        </xdr:nvSpPr>
        <xdr:spPr>
          <a:xfrm>
            <a:off x="0" y="0"/>
            <a:ext cx="14859000" cy="304800"/>
          </a:xfrm>
          <a:prstGeom prst="roundRect">
            <a:avLst>
              <a:gd name="adj" fmla="16667"/>
            </a:avLst>
          </a:prstGeom>
          <a:noFill/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200" b="1">
                <a:solidFill>
                  <a:srgbClr val="0F172A"/>
                </a:solidFill>
              </a:defRPr>
            </a:pPr>
            <a:r>
              <a:rPr lang="es-ES" sz="1200" b="1">
                <a:solidFill>
                  <a:srgbClr val="0F172A"/>
                </a:solidFill>
              </a:rPr>
              <a:t>Flujo del dinero: de dónde llega, por dónde pasa y a dónde va</a:t>
            </a:r>
            <a:endParaRPr/>
          </a:p>
        </xdr:txBody>
      </xdr:sp>
      <xdr:sp>
        <xdr:nvSpPr>
          <xdr:cNvPr id="2" name="De 1"/>
          <xdr:cNvSpPr/>
        </xdr:nvSpPr>
        <xdr:spPr>
          <a:xfrm>
            <a:off x="1047750" y="381000"/>
            <a:ext cx="2857500" cy="438150"/>
          </a:xfrm>
          <a:prstGeom prst="roundRect">
            <a:avLst>
              <a:gd name="adj" fmla="16667"/>
            </a:avLst>
          </a:prstGeom>
          <a:solidFill>
            <a:srgbClr val="64748B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Exterior</a:t>
            </a:r>
            <a:endParaRPr/>
          </a:p>
        </xdr:txBody>
      </xdr:sp>
      <xdr:sp>
        <xdr:nvSpPr>
          <xdr:cNvPr id="3" name="Flecha 1"/>
          <xdr:cNvSpPr/>
        </xdr:nvSpPr>
        <xdr:spPr>
          <a:xfrm>
            <a:off x="3981450" y="4572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4" name="A 1"/>
          <xdr:cNvSpPr/>
        </xdr:nvSpPr>
        <xdr:spPr>
          <a:xfrm>
            <a:off x="6000750" y="3810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5" name="De 2"/>
          <xdr:cNvSpPr/>
        </xdr:nvSpPr>
        <xdr:spPr>
          <a:xfrm>
            <a:off x="1047750" y="1104900"/>
            <a:ext cx="2857500" cy="438150"/>
          </a:xfrm>
          <a:prstGeom prst="roundRect">
            <a:avLst>
              <a:gd name="adj" fmla="16667"/>
            </a:avLst>
          </a:prstGeom>
          <a:solidFill>
            <a:srgbClr val="64748B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Exterior</a:t>
            </a:r>
            <a:endParaRPr/>
          </a:p>
        </xdr:txBody>
      </xdr:sp>
      <xdr:sp>
        <xdr:nvSpPr>
          <xdr:cNvPr id="6" name="Flecha 2"/>
          <xdr:cNvSpPr/>
        </xdr:nvSpPr>
        <xdr:spPr>
          <a:xfrm>
            <a:off x="3981450" y="11811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7" name="A 2"/>
          <xdr:cNvSpPr/>
        </xdr:nvSpPr>
        <xdr:spPr>
          <a:xfrm>
            <a:off x="6000750" y="11049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Fondo indexado</a:t>
            </a:r>
            <a:endParaRPr/>
          </a:p>
        </xdr:txBody>
      </xdr:sp>
      <xdr:sp>
        <xdr:nvSpPr>
          <xdr:cNvPr id="8" name="De 3"/>
          <xdr:cNvSpPr/>
        </xdr:nvSpPr>
        <xdr:spPr>
          <a:xfrm>
            <a:off x="1047750" y="1828800"/>
            <a:ext cx="2857500" cy="438150"/>
          </a:xfrm>
          <a:prstGeom prst="roundRect">
            <a:avLst>
              <a:gd name="adj" fmla="16667"/>
            </a:avLst>
          </a:prstGeom>
          <a:solidFill>
            <a:srgbClr val="64748B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Exterior</a:t>
            </a:r>
            <a:endParaRPr/>
          </a:p>
        </xdr:txBody>
      </xdr:sp>
      <xdr:sp>
        <xdr:nvSpPr>
          <xdr:cNvPr id="9" name="Flecha 3"/>
          <xdr:cNvSpPr/>
        </xdr:nvSpPr>
        <xdr:spPr>
          <a:xfrm>
            <a:off x="3981450" y="19050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10" name="A 3"/>
          <xdr:cNvSpPr/>
        </xdr:nvSpPr>
        <xdr:spPr>
          <a:xfrm>
            <a:off x="6000750" y="18288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iShares Developed World Index</a:t>
            </a:r>
            <a:endParaRPr/>
          </a:p>
        </xdr:txBody>
      </xdr:sp>
      <xdr:sp>
        <xdr:nvSpPr>
          <xdr:cNvPr id="11" name="De 4"/>
          <xdr:cNvSpPr/>
        </xdr:nvSpPr>
        <xdr:spPr>
          <a:xfrm>
            <a:off x="6000750" y="25527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12" name="Flecha 4"/>
          <xdr:cNvSpPr/>
        </xdr:nvSpPr>
        <xdr:spPr>
          <a:xfrm>
            <a:off x="8934450" y="26289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13" name="A 4"/>
          <xdr:cNvSpPr/>
        </xdr:nvSpPr>
        <xdr:spPr>
          <a:xfrm>
            <a:off x="10953750" y="2552700"/>
            <a:ext cx="2857500" cy="438150"/>
          </a:xfrm>
          <a:prstGeom prst="roundRect">
            <a:avLst>
              <a:gd name="adj" fmla="16667"/>
            </a:avLst>
          </a:prstGeom>
          <a:solidFill>
            <a:srgbClr val="0F766E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Vanguard Global Stock Index</a:t>
            </a:r>
            <a:endParaRPr/>
          </a:p>
        </xdr:txBody>
      </xdr:sp>
      <xdr:sp>
        <xdr:nvSpPr>
          <xdr:cNvPr id="14" name="De 5"/>
          <xdr:cNvSpPr/>
        </xdr:nvSpPr>
        <xdr:spPr>
          <a:xfrm>
            <a:off x="6000750" y="32766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15" name="Flecha 5"/>
          <xdr:cNvSpPr/>
        </xdr:nvSpPr>
        <xdr:spPr>
          <a:xfrm>
            <a:off x="8934450" y="33528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16" name="A 5"/>
          <xdr:cNvSpPr/>
        </xdr:nvSpPr>
        <xdr:spPr>
          <a:xfrm>
            <a:off x="10953750" y="3276600"/>
            <a:ext cx="2857500" cy="438150"/>
          </a:xfrm>
          <a:prstGeom prst="roundRect">
            <a:avLst>
              <a:gd name="adj" fmla="16667"/>
            </a:avLst>
          </a:prstGeom>
          <a:solidFill>
            <a:srgbClr val="0F766E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Fidelity MSCI World Index</a:t>
            </a:r>
            <a:endParaRPr/>
          </a:p>
        </xdr:txBody>
      </xdr:sp>
      <xdr:sp>
        <xdr:nvSpPr>
          <xdr:cNvPr id="17" name="De 6"/>
          <xdr:cNvSpPr/>
        </xdr:nvSpPr>
        <xdr:spPr>
          <a:xfrm>
            <a:off x="6000750" y="40005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18" name="Flecha 6"/>
          <xdr:cNvSpPr/>
        </xdr:nvSpPr>
        <xdr:spPr>
          <a:xfrm>
            <a:off x="8934450" y="40767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19" name="A 6"/>
          <xdr:cNvSpPr/>
        </xdr:nvSpPr>
        <xdr:spPr>
          <a:xfrm>
            <a:off x="10953750" y="4000500"/>
            <a:ext cx="2857500" cy="438150"/>
          </a:xfrm>
          <a:prstGeom prst="roundRect">
            <a:avLst>
              <a:gd name="adj" fmla="16667"/>
            </a:avLst>
          </a:prstGeom>
          <a:solidFill>
            <a:srgbClr val="0F766E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Cartera indexada Metal</a:t>
            </a:r>
            <a:endParaRPr/>
          </a:p>
        </xdr:txBody>
      </xdr:sp>
      <xdr:sp>
        <xdr:nvSpPr>
          <xdr:cNvPr id="20" name="De 7"/>
          <xdr:cNvSpPr/>
        </xdr:nvSpPr>
        <xdr:spPr>
          <a:xfrm>
            <a:off x="6000750" y="47244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21" name="Flecha 7"/>
          <xdr:cNvSpPr/>
        </xdr:nvSpPr>
        <xdr:spPr>
          <a:xfrm>
            <a:off x="8934450" y="48006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22" name="A 7"/>
          <xdr:cNvSpPr/>
        </xdr:nvSpPr>
        <xdr:spPr>
          <a:xfrm>
            <a:off x="10953750" y="4724400"/>
            <a:ext cx="2857500" cy="438150"/>
          </a:xfrm>
          <a:prstGeom prst="roundRect">
            <a:avLst>
              <a:gd name="adj" fmla="16667"/>
            </a:avLst>
          </a:prstGeom>
          <a:solidFill>
            <a:srgbClr val="0F766E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Depósito 12 meses</a:t>
            </a:r>
            <a:endParaRPr/>
          </a:p>
        </xdr:txBody>
      </xdr:sp>
      <xdr:sp>
        <xdr:nvSpPr>
          <xdr:cNvPr id="23" name="De 8"/>
          <xdr:cNvSpPr/>
        </xdr:nvSpPr>
        <xdr:spPr>
          <a:xfrm>
            <a:off x="6000750" y="5448300"/>
            <a:ext cx="2857500" cy="438150"/>
          </a:xfrm>
          <a:prstGeom prst="roundRect">
            <a:avLst>
              <a:gd name="adj" fmla="16667"/>
            </a:avLst>
          </a:prstGeom>
          <a:solidFill>
            <a:srgbClr val="1D4ED8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Cuenta Myinvestor</a:t>
            </a:r>
            <a:endParaRPr/>
          </a:p>
        </xdr:txBody>
      </xdr:sp>
      <xdr:sp>
        <xdr:nvSpPr>
          <xdr:cNvPr id="24" name="Flecha 8"/>
          <xdr:cNvSpPr/>
        </xdr:nvSpPr>
        <xdr:spPr>
          <a:xfrm>
            <a:off x="8934450" y="5524500"/>
            <a:ext cx="1943100" cy="285750"/>
          </a:xfrm>
          <a:prstGeom prst="rightArrow">
            <a:avLst>
              <a:gd name="adj1" fmla="50000"/>
              <a:gd name="adj2" fmla="50000"/>
            </a:avLst>
          </a:prstGeom>
          <a:solidFill>
            <a:srgbClr val="F1F5F9"/>
          </a:solidFill>
          <a:ln w="9525">
            <a:solidFill>
              <a:srgbClr val="CBD5E1"/>
            </a:solidFill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900" b="0">
                <a:solidFill>
                  <a:srgbClr val="1D4ED8"/>
                </a:solidFill>
              </a:defRPr>
            </a:pPr>
            <a:r>
              <a:rPr lang="es-ES" sz="900" b="0">
                <a:solidFill>
                  <a:srgbClr val="1D4ED8"/>
                </a:solidFill>
              </a:rPr>
              <a:t/>
            </a:r>
            <a:endParaRPr/>
          </a:p>
        </xdr:txBody>
      </xdr:sp>
      <xdr:sp>
        <xdr:nvSpPr>
          <xdr:cNvPr id="25" name="A 8"/>
          <xdr:cNvSpPr/>
        </xdr:nvSpPr>
        <xdr:spPr>
          <a:xfrm>
            <a:off x="10953750" y="5448300"/>
            <a:ext cx="2857500" cy="438150"/>
          </a:xfrm>
          <a:prstGeom prst="roundRect">
            <a:avLst>
              <a:gd name="adj" fmla="16667"/>
            </a:avLst>
          </a:prstGeom>
          <a:solidFill>
            <a:srgbClr val="0F766E"/>
          </a:solidFill>
          <a:ln>
            <a:noFill/>
          </a:ln>
        </xdr:spPr>
        <xdr:txBody>
          <a:bodyPr wrap="square" lIns="27432" tIns="18288" rIns="27432" bIns="18288" anchor="ctr">
            <a:noAutofit/>
          </a:bodyPr>
          <a:lstStyle/>
          <a:p>
            <a:pPr algn="ctr">
              <a:defRPr sz="1000" b="0">
                <a:solidFill>
                  <a:srgbClr val="FFFFFF"/>
                </a:solidFill>
              </a:defRPr>
            </a:pPr>
            <a:r>
              <a:rPr lang="es-ES" sz="1000" b="0">
                <a:solidFill>
                  <a:srgbClr val="FFFFFF"/>
                </a:solidFill>
              </a:rPr>
              <a:t>Plan de pensiones indexado</a:t>
            </a:r>
            <a:endParaRPr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4" t="s">
        <v>19</v>
      </c>
      <c r="G7" s="15" t="s">
        <v>20</v>
      </c>
      <c r="H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  <c r="I7" s="17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Myinvestor")&lt;=0,SUMPRODUCT(--($H8:$H12&lt;&gt;""))=0),"",IF(OR($H7=0,$H7=""),"",$J7/$H7))),"")</f>
      </c>
      <c r="J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Myinvestor")&lt;=0,SUMPRODUCT(--($H8:$H12&lt;&gt;""))=0),"",IF(OR($H7="",$K7=""),"",$K7-$H7))),"")</f>
      </c>
      <c r="K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</row>
    <row r="8" spans="1:11" x14ac:dyDescent="0.25">
      <c r="A8" s="9">
        <v>46317</v>
      </c>
      <c r="B8" s="10"/>
      <c r="C8" s="10"/>
      <c r="D8" s="11"/>
      <c r="F8" s="18" t="s">
        <v>21</v>
      </c>
      <c r="G8" s="15" t="s">
        <v>20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9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46317</v>
      </c>
      <c r="B9" s="10"/>
      <c r="C9" s="10"/>
      <c r="D9" s="11"/>
      <c r="F9" s="20" t="s">
        <v>22</v>
      </c>
      <c r="G9" s="15" t="s">
        <v>20</v>
      </c>
      <c r="H9" s="21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2"/>
      <c r="J9" s="21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1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46317</v>
      </c>
      <c r="B10" s="10"/>
      <c r="C10" s="10"/>
      <c r="D10" s="11"/>
      <c r="F10" s="20" t="s">
        <v>23</v>
      </c>
      <c r="G10" s="15" t="s">
        <v>20</v>
      </c>
      <c r="H10" s="21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2"/>
      <c r="J10" s="21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1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46317</v>
      </c>
      <c r="B11" s="10"/>
      <c r="C11" s="10"/>
      <c r="D11" s="11"/>
      <c r="F11" s="20" t="s">
        <v>24</v>
      </c>
      <c r="G11" s="15" t="s">
        <v>20</v>
      </c>
      <c r="H11" s="21">
        <f>IFERROR(IF($F11="","",IF(AND(SUMIFS($D$6:$D$505,$C$6:$C$505,"Depósito 12 meses")&gt;0,SUMIFS($D$6:$D$505,$C$6:$C$505,"Depósito 12 meses")-SUMIFS($D$6:$D$505,$B$6:$B$505,"Depósito 12 meses")&lt;=0),"",SUMIFS($D$6:$D$505,$C$6:$C$505,"Depósito 12 meses")-SUMIFS($D$6:$D$505,$B$6:$B$505,"Depósito 12 meses"))),"")</f>
      </c>
      <c r="I11" s="22"/>
      <c r="J11" s="21">
        <f>IFERROR(IF($F11="","",IF(AND(SUMIFS($D$6:$D$505,$C$6:$C$505,"Depósito 12 meses")&gt;0,SUMIFS($D$6:$D$505,$C$6:$C$505,"Depósito 12 meses")-SUMIFS($D$6:$D$505,$B$6:$B$505,"Depósito 12 meses")&lt;=0),"",IF(OR($H11="",$K11=""),"",$K11-$H11))),"")</f>
      </c>
      <c r="K11" s="21">
        <f>IFERROR(IF($F11="","",IF(AND(SUMIFS($D$6:$D$505,$C$6:$C$505,"Depósito 12 meses")&gt;0,SUMIFS($D$6:$D$505,$C$6:$C$505,"Depósito 12 meses")-SUMIFS($D$6:$D$505,$B$6:$B$505,"Depósito 12 meses")&lt;=0),"",IF(OR($H11="",$H11=0),"",IF($I11="",$H11,$H11*(1+$I11))))),"")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0" t="s">
        <v>25</v>
      </c>
      <c r="G12" s="15" t="s">
        <v>20</v>
      </c>
      <c r="H12" s="21">
        <f>IFERROR(IF($F12="","",IF(AND(SUMIFS($D$6:$D$505,$C$6:$C$505,"Plan de pensiones indexado")&gt;0,SUMIFS($D$6:$D$505,$C$6:$C$505,"Plan de pensiones indexado")-SUMIFS($D$6:$D$505,$B$6:$B$505,"Plan de pensiones indexado")&lt;=0),"",SUMIFS($D$6:$D$505,$C$6:$C$505,"Plan de pensiones indexado")-SUMIFS($D$6:$D$505,$B$6:$B$505,"Plan de pensiones indexado"))),"")</f>
      </c>
      <c r="I12" s="22"/>
      <c r="J12" s="21">
        <f>IFERROR(IF($F12="","",IF(AND(SUMIFS($D$6:$D$505,$C$6:$C$505,"Plan de pensiones indexado")&gt;0,SUMIFS($D$6:$D$505,$C$6:$C$505,"Plan de pensiones indexado")-SUMIFS($D$6:$D$505,$B$6:$B$505,"Plan de pensiones indexado")&lt;=0),"",IF(OR($H12="",$K12=""),"",$K12-$H12))),"")</f>
      </c>
      <c r="K12" s="21">
        <f>IFERROR(IF($F12="","",IF(AND(SUMIFS($D$6:$D$505,$C$6:$C$505,"Plan de pensiones indexado")&gt;0,SUMIFS($D$6:$D$505,$C$6:$C$505,"Plan de pensiones indexado")-SUMIFS($D$6:$D$505,$B$6:$B$505,"Plan de pensiones indexado")&lt;=0),"",IF(OR($H12="",$H12=0),"",IF($I12="",$H12,$H12*(1+$I12))))),"")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3" t="s">
        <v>26</v>
      </c>
      <c r="G13" s="15" t="s">
        <v>20</v>
      </c>
      <c r="H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  <c r="I13" s="24">
        <f>IFERROR(IF($F13="","",IF(AND(COUNTIF($C$6:$C$505,"Cuenta ahorro · ING")+COUNTIF($B$6:$B$505,"Cuenta ahorro · ING")&gt;0,SUMIFS($D$6:$D$505,$C$6:$C$505,"Cuenta ahorro · ING")-SUMIFS($D$6:$D$505,$B$6:$B$505,"Cuenta ahorro · ING")&lt;=0),"",IF(OR($H13=0,$H13=""),"",$J13/$H13))),"")</f>
      </c>
      <c r="J13" s="21">
        <f>IFERROR(IF($F13="","",IF(AND(COUNTIF($C$6:$C$505,"Cuenta ahorro · ING")+COUNTIF($B$6:$B$505,"Cuenta ahorro · ING")&gt;0,SUMIFS($D$6:$D$505,$C$6:$C$505,"Cuenta ahorro · ING")-SUMIFS($D$6:$D$505,$B$6:$B$505,"Cuenta ahorro · ING")&lt;=0),"",IF(OR($H13="",$K13=""),"",$K13-$H13))),"")</f>
      </c>
      <c r="K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</row>
    <row r="14" spans="1:11" x14ac:dyDescent="0.25">
      <c r="A14" s="9">
        <v>46317</v>
      </c>
      <c r="B14" s="10"/>
      <c r="C14" s="10"/>
      <c r="D14" s="11"/>
      <c r="F14" s="25" t="s">
        <v>27</v>
      </c>
      <c r="G14" s="15" t="s">
        <v>28</v>
      </c>
      <c r="H14" s="26">
        <f>IFERROR(IF($F14="","",IF(AND(SUMIFS($D$6:$D$505,$C$6:$C$505,"Fondo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4" s="27"/>
      <c r="J14" s="26">
        <f>IFERROR(IF($F14="","",IF(AND(SUMIFS($D$6:$D$505,$C$6:$C$505,"Fondo indexado")&gt;0,SUMIFS($D$6:$D$505,$C$6:$C$505,"Fondo indexado")-SUMIFS($D$6:$D$505,$B$6:$B$505,"Fondo indexado")&lt;=0),"",IF(OR($H14="",$K14=""),"",$K14-$H14))),"")</f>
      </c>
      <c r="K14" s="26">
        <f>IFERROR(IF($F14="","",IF(AND(SUMIFS($D$6:$D$505,$C$6:$C$505,"Fondo indexado")&gt;0,SUMIFS($D$6:$D$505,$C$6:$C$505,"Fondo indexado")-SUMIFS($D$6:$D$505,$B$6:$B$505,"Fondo indexado")&lt;=0),"",IF(OR($H14="",$H14=0),"",IF($I14="",$H14,$H14*(1+$I14))))),"")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 t="s">
        <v>29</v>
      </c>
      <c r="G15" s="15" t="s">
        <v>28</v>
      </c>
      <c r="H15" s="26">
        <f>IFERROR(IF($F15="","",IF(AND(SUMIFS($D$6:$D$505,$C$6:$C$505,"iShares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5" s="27"/>
      <c r="J15" s="26">
        <f>IFERROR(IF($F15="","",IF(AND(SUMIFS($D$6:$D$505,$C$6:$C$505,"iShares Developed World Index")&gt;0,SUMIFS($D$6:$D$505,$C$6:$C$505,"iShares Developed World Index")-SUMIFS($D$6:$D$505,$B$6:$B$505,"iShares Developed World Index")&lt;=0),"",IF(OR($H15="",$K15=""),"",$K15-$H15))),"")</f>
      </c>
      <c r="K15" s="26">
        <f>IFERROR(IF($F15="","",IF(AND(SUMIFS($D$6:$D$505,$C$6:$C$505,"iShares Developed World Index")&gt;0,SUMIFS($D$6:$D$505,$C$6:$C$505,"iShares Developed World Index")-SUMIFS($D$6:$D$505,$B$6:$B$505,"iShares Developed World Index")&lt;=0),"",IF(OR($H15="",$H15=0),"",IF($I15="",$H15,$H15*(1+$I15))))),"")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8"/>
      <c r="G16" s="29"/>
      <c r="H16" s="30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31"/>
      <c r="J16" s="30">
        <f>IFERROR(IF($F16="","",IF(AND(SUMIFS($D$6:$D$505,$C$6:$C$505,$F16)&gt;0,SUMIFS($D$6:$D$505,$C$6:$C$505,$F16)-SUMIFS($D$6:$D$505,$B$6:$B$505,$F16)&lt;=0),"",IF(OR($H16="",$K16=""),"",$K16-$H16))),"")</f>
      </c>
      <c r="K16" s="30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8"/>
      <c r="G17" s="29"/>
      <c r="H17" s="30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31"/>
      <c r="J17" s="30">
        <f>IFERROR(IF($F17="","",IF(AND(SUMIFS($D$6:$D$505,$C$6:$C$505,$F17)&gt;0,SUMIFS($D$6:$D$505,$C$6:$C$505,$F17)-SUMIFS($D$6:$D$505,$B$6:$B$505,$F17)&lt;=0),"",IF(OR($H17="",$K17=""),"",$K17-$H17))),"")</f>
      </c>
      <c r="K17" s="30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4" x14ac:dyDescent="0.25">
      <c r="A18" s="9">
        <v>46317</v>
      </c>
      <c r="B18" s="10"/>
      <c r="C18" s="10"/>
      <c r="D18" s="11"/>
    </row>
    <row r="19" spans="1:11" x14ac:dyDescent="0.25">
      <c r="A19" s="9">
        <v>46317</v>
      </c>
      <c r="B19" s="10"/>
      <c r="C19" s="10"/>
      <c r="D19" s="11"/>
      <c r="F19" s="32" t="s">
        <v>30</v>
      </c>
      <c r="G19" s="33" t="s">
        <v>20</v>
      </c>
      <c r="H19" s="34">
        <f>IFERROR(IF(SUMIFS($H$6:$H$17,$G$6:$G$17,"Marta")=0,"",SUMIFS($H$6:$H$17,$G$6:$G$17,"Marta")),"")</f>
      </c>
      <c r="I19" s="35">
        <f>IFERROR(IF($H19=0,"",$J19/$H19),"")</f>
      </c>
      <c r="J19" s="34">
        <f>IFERROR(IF(SUMIFS($J$6:$J$17,$G$6:$G$17,"Marta")=0,"",SUMIFS($J$6:$J$17,$G$6:$G$17,"Marta")),"")</f>
      </c>
      <c r="K19" s="34">
        <f>IFERROR(IF(SUMIFS($K$6:$K$17,$G$6:$G$17,"Marta")=0,"",SUMIFS($K$6:$K$17,$G$6:$G$17,"Marta")),"")</f>
      </c>
    </row>
    <row r="20" spans="1:11" x14ac:dyDescent="0.25">
      <c r="A20" s="9">
        <v>46317</v>
      </c>
      <c r="B20" s="10"/>
      <c r="C20" s="10"/>
      <c r="D20" s="11"/>
      <c r="F20" s="32" t="s">
        <v>31</v>
      </c>
      <c r="G20" s="33" t="s">
        <v>28</v>
      </c>
      <c r="H20" s="34">
        <f>IFERROR(IF(SUMIFS($H$6:$H$17,$G$6:$G$17,"Fondo ahorro")=0,"",SUMIFS($H$6:$H$17,$G$6:$G$17,"Fondo ahorro")),"")</f>
      </c>
      <c r="I20" s="35">
        <f>IFERROR(IF($H20=0,"",$J20/$H20),"")</f>
      </c>
      <c r="J20" s="34">
        <f>IFERROR(IF(SUMIFS($J$6:$J$17,$G$6:$G$17,"Fondo ahorro")=0,"",SUMIFS($J$6:$J$17,$G$6:$G$17,"Fondo ahorro")),"")</f>
      </c>
      <c r="K20" s="34">
        <f>IFERROR(IF(SUMIFS($K$6:$K$17,$G$6:$G$17,"Fondo ahorro")=0,"",SUMIFS($K$6:$K$17,$G$6:$G$17,"Fondo ahorro")),"")</f>
      </c>
    </row>
    <row r="21" ht="18" customHeight="1" spans="1:11" x14ac:dyDescent="0.25">
      <c r="A21" s="9">
        <v>46317</v>
      </c>
      <c r="B21" s="10"/>
      <c r="C21" s="10"/>
      <c r="D21" s="11"/>
      <c r="F21" s="36" t="s">
        <v>32</v>
      </c>
      <c r="G21" s="36"/>
      <c r="H21" s="37">
        <f>IFERROR(IF(SUM($H$6:$H$17)=0,"",SUM($H$6:$H$17)),"")</f>
      </c>
      <c r="I21" s="38">
        <f>IFERROR(IF($H21=0,"",$J21/$H21),"")</f>
      </c>
      <c r="J21" s="37">
        <f>IFERROR(IF(SUM($J$6:$J$17)=0,"",SUM($J$6:$J$17)),"")</f>
      </c>
      <c r="K21" s="37">
        <f>IFERROR(IF(SUM($K$6:$K$17)=0,"",SUM($K$6:$K$17)),"")</f>
      </c>
    </row>
    <row r="22" spans="1:4" x14ac:dyDescent="0.25">
      <c r="A22" s="9">
        <v>46317</v>
      </c>
      <c r="B22" s="10"/>
      <c r="C22" s="10"/>
      <c r="D22" s="11"/>
    </row>
    <row r="23" spans="1:11" x14ac:dyDescent="0.25">
      <c r="A23" s="39" t="s">
        <v>33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</row>
    <row r="24" spans="1:11" x14ac:dyDescent="0.25">
      <c r="A24" s="39" t="s">
        <v>34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spans="1:4" x14ac:dyDescent="0.25">
      <c r="A25" s="9">
        <v>46317</v>
      </c>
      <c r="B25" s="10"/>
      <c r="C25" s="10"/>
      <c r="D25" s="11"/>
    </row>
    <row r="26" spans="1:4" x14ac:dyDescent="0.25">
      <c r="A26" s="9">
        <v>46317</v>
      </c>
      <c r="B26" s="10"/>
      <c r="C26" s="10"/>
      <c r="D26" s="11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3:K23"/>
    <mergeCell ref="A24:K24"/>
  </mergeCells>
  <conditionalFormatting sqref="A6:D5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16:K17">
    <cfRule type="expression" dxfId="3" priority="1">
      <formula>$F16&lt;&gt;""</formula>
    </cfRule>
    <cfRule type="expression" dxfId="4" priority="2">
      <formula>AND($F15&lt;&gt;"",$F16="")</formula>
    </cfRule>
    <cfRule type="expression" dxfId="5" priority="3">
      <formula>$F15=""</formula>
    </cfRule>
  </conditionalFormatting>
  <conditionalFormatting sqref="I16:I17">
    <cfRule type="expression" dxfId="6" priority="4">
      <formula>$F16&lt;&gt;""</formula>
    </cfRule>
    <cfRule type="expression" dxfId="7" priority="5">
      <formula>AND($F15&lt;&gt;"",$F16="")</formula>
    </cfRule>
  </conditionalFormatting>
  <conditionalFormatting sqref="F7:K15">
    <cfRule type="expression" dxfId="8" priority="1">
      <formula>$H7=""</formula>
    </cfRule>
  </conditionalFormatting>
  <conditionalFormatting sqref="F9:F17">
    <cfRule type="expression" dxfId="9" priority="6">
      <formula>AND($F9&lt;&gt;"",$G9="Marta")</formula>
    </cfRule>
    <cfRule type="expression" dxfId="10" priority="7">
      <formula>AND($F9&lt;&gt;"",$G9="Fondo ahorro")</formula>
    </cfRule>
  </conditionalFormatting>
  <conditionalFormatting sqref="I6:J17">
    <cfRule type="cellIs" dxfId="11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0"/>
  <rowBreaks count="2" manualBreakCount="2">
    <brk id="26" min="0" max="16383" man="1"/>
    <brk id="92" min="0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2026-10-22T17:21:16Z</dcterms:created>
  <dcterms:modified xsi:type="dcterms:W3CDTF">2026-10-22T17:21:16Z</dcterms:modified>
</cp:coreProperties>
</file>