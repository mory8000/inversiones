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definedNames>
    <definedName name="ListaNombres">OFFSET('Movimientos'!$F$6,0,0,MAX(COUNTA('Movimientos'!$F$6:$F$23),1),1)</definedName>
    <definedName name="_xlnm.Print_Area" localSheetId="0">'Movimientos'!$A1:$K43</definedName>
    <definedName name="_xlnm.Print_Titles" localSheetId="0">'Movimientos'!$1:$5</definedName>
  </definedNames>
  <calcPr calcId="171027" fullCalcOnLoad="1"/>
</workbook>
</file>

<file path=xl/sharedStrings.xml><?xml version="1.0" encoding="utf-8"?>
<sst xmlns="http://schemas.openxmlformats.org/spreadsheetml/2006/main" count="49" uniqueCount="38">
  <si>
    <t>MIS INVERSIONES · MOVIMIENTOS: DE DÓNDE VIENE EL DINERO</t>
  </si>
  <si>
    <t>Escribe cada movimiento: fecha, de dónde sale (De), a dónde va (A) e importe. Solo se ve una fila: al rellenarla, se abre la siguiente.</t>
  </si>
  <si>
    <t>Capital aportado</t>
  </si>
  <si>
    <t>+</t>
  </si>
  <si>
    <t>Rentabilidad</t>
  </si>
  <si>
    <t>=</t>
  </si>
  <si>
    <t>Saldo</t>
  </si>
  <si>
    <t>Resumen de cada cuenta, con lo invertido en cada inversión debajo; después, el total de cada cuenta, el de cada titular y el TOTAL.</t>
  </si>
  <si>
    <t>MOVIMIENTOS</t>
  </si>
  <si>
    <t>RESUMEN</t>
  </si>
  <si>
    <t>Fecha</t>
  </si>
  <si>
    <t>De  (de dónde sale)</t>
  </si>
  <si>
    <t>A  (a dónde va)</t>
  </si>
  <si>
    <t>Importe</t>
  </si>
  <si>
    <t>Cuenta e inversiones</t>
  </si>
  <si>
    <t>Titular</t>
  </si>
  <si>
    <t>Rentab. %</t>
  </si>
  <si>
    <t>Rentab. €</t>
  </si>
  <si>
    <t>Exterior</t>
  </si>
  <si>
    <t>Interés</t>
  </si>
  <si>
    <t>MyInvestor</t>
  </si>
  <si>
    <t>Marta</t>
  </si>
  <si>
    <t>Vanguard Global Stock Index</t>
  </si>
  <si>
    <t>Fidelity MSCI World Index</t>
  </si>
  <si>
    <t>Cartera indexada Metal</t>
  </si>
  <si>
    <t>Depósito 12 meses</t>
  </si>
  <si>
    <t>Plan de pensiones indexado global</t>
  </si>
  <si>
    <t>Cuenta nómina · BBVA</t>
  </si>
  <si>
    <t>Cuenta ahorro · ING</t>
  </si>
  <si>
    <t>Fondo indexado</t>
  </si>
  <si>
    <t>Fondo ahorro</t>
  </si>
  <si>
    <t>Depósito ahorro</t>
  </si>
  <si>
    <t>Total MyInvestor</t>
  </si>
  <si>
    <t>Total Fondo ahorro</t>
  </si>
  <si>
    <t>Total Marta</t>
  </si>
  <si>
    <t>TOTAL</t>
  </si>
  <si>
    <t>Para añadir una inversión: escribe su nombre (y su titular) en una fila libre del final. Para quitarla: borra su fila. Entra al momento en los desplegables.</t>
  </si>
  <si>
    <t>En las inversiones se escribe la rentabilidad en % (la celda amarilla, como en la app) y el saldo se calcula solo. «Exterior» es el dinero que entra o sale de fuera; «Interés», lo que paga el banco (rentabilidad, no dinero aportado).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</si>
</sst>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 &quot;€&quot;"/>
    <numFmt numFmtId="166" formatCode="0.00 %"/>
  </numFmts>
  <fonts count="17" x14ac:knownFonts="1">
    <font>
      <color theme="1"/>
      <family val="2"/>
      <scheme val="minor"/>
      <sz val="11"/>
      <name val="Calibri"/>
    </font>
    <font>
      <b/>
      <color rgb="FF0F172A"/>
      <sz val="14"/>
    </font>
    <font>
      <color rgb="FF64748B"/>
      <sz val="9"/>
    </font>
    <font>
      <b/>
      <color rgb="FF1D4ED8"/>
      <sz val="10"/>
    </font>
    <font>
      <b/>
      <color rgb="FF64748B"/>
      <sz val="11"/>
    </font>
    <font>
      <i/>
      <color rgb="FF64748B"/>
      <sz val="9"/>
    </font>
    <font>
      <b/>
      <color rgb="FFFFFFFF"/>
      <sz val="11"/>
    </font>
    <font>
      <b/>
      <color rgb="FF334155"/>
      <sz val="10"/>
    </font>
    <font>
      <color rgb="FF0F172A"/>
      <sz val="10"/>
    </font>
    <font>
      <b/>
      <i/>
      <color rgb="FF0F172A"/>
      <sz val="10"/>
    </font>
    <font>
      <b/>
      <color rgb="FF0F172A"/>
      <sz val="10"/>
    </font>
    <font>
      <sz val="10"/>
    </font>
    <font>
      <color rgb="FF2447B8"/>
      <sz val="10"/>
    </font>
    <font>
      <b/>
      <color rgb="FF2447B8"/>
      <sz val="10"/>
    </font>
    <font>
      <color rgb="FFEA580C"/>
      <sz val="10"/>
    </font>
    <font>
      <color rgb="FF000000"/>
      <sz val="10"/>
    </font>
    <font>
      <b/>
      <sz val="10"/>
    </font>
  </fonts>
  <fills count="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EE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164" fontId="8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0" borderId="0" xfId="0" applyFont="1"/>
    <xf numFmtId="0" fontId="0" fillId="5" borderId="0" xfId="0" applyFill="1"/>
    <xf numFmtId="0" fontId="10" fillId="0" borderId="1" xfId="0" applyFont="1" applyBorder="1" applyAlignment="1"/>
    <xf numFmtId="0" fontId="2" fillId="0" borderId="1" xfId="0" applyFont="1" applyBorder="1" applyAlignment="1">
      <alignment horizontal="center"/>
    </xf>
    <xf numFmtId="165" fontId="11" fillId="0" borderId="1" xfId="0" applyNumberFormat="1" applyFont="1" applyBorder="1"/>
    <xf numFmtId="166" fontId="11" fillId="0" borderId="1" xfId="0" applyNumberFormat="1" applyFont="1" applyBorder="1"/>
    <xf numFmtId="0" fontId="12" fillId="0" borderId="1" xfId="0" applyFont="1" applyBorder="1" applyAlignment="1">
      <alignment indent="1"/>
    </xf>
    <xf numFmtId="166" fontId="11" fillId="6" borderId="1" xfId="0" applyNumberFormat="1" applyFont="1" applyFill="1" applyBorder="1"/>
    <xf numFmtId="0" fontId="13" fillId="0" borderId="1" xfId="0" applyFont="1" applyBorder="1" applyAlignment="1"/>
    <xf numFmtId="0" fontId="14" fillId="0" borderId="1" xfId="0" applyFont="1" applyBorder="1" applyAlignment="1"/>
    <xf numFmtId="0" fontId="15" fillId="6" borderId="1" xfId="0" applyFont="1" applyFill="1" applyBorder="1" applyAlignment="1">
      <alignment indent="1"/>
    </xf>
    <xf numFmtId="0" fontId="2" fillId="6" borderId="1" xfId="0" applyFont="1" applyFill="1" applyBorder="1" applyAlignment="1">
      <alignment horizontal="center"/>
    </xf>
    <xf numFmtId="0" fontId="10" fillId="4" borderId="0" xfId="0" applyFont="1" applyFill="1"/>
    <xf numFmtId="0" fontId="0" fillId="4" borderId="0" xfId="0" applyFill="1"/>
    <xf numFmtId="165" fontId="16" fillId="4" borderId="0" xfId="0" applyNumberFormat="1" applyFont="1" applyFill="1" applyAlignment="1">
      <alignment horizontal="right"/>
    </xf>
    <xf numFmtId="166" fontId="16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6" fillId="3" borderId="0" xfId="0" applyFont="1" applyFill="1"/>
    <xf numFmtId="165" fontId="6" fillId="3" borderId="0" xfId="0" applyNumberFormat="1" applyFont="1" applyFill="1" applyAlignment="1">
      <alignment horizontal="right"/>
    </xf>
    <xf numFmtId="166" fontId="6" fillId="3" borderId="0" xfId="0" applyNumberFormat="1" applyFont="1" applyFill="1" applyAlignment="1">
      <alignment horizontal="right"/>
    </xf>
    <xf numFmtId="164" fontId="5" fillId="0" borderId="0" xfId="0" applyNumberFormat="1" applyFont="1"/>
  </cellXfs>
  <cellStyles count="1">
    <cellStyle name="Normal" xfId="0" builtinId="0"/>
  </cellStyles>
  <dxfs count="5">
    <dxf>
      <font>
        <color rgb="FF0F172A"/>
        <sz val="10"/>
      </font>
      <fill>
        <patternFill patternType="solid">
          <fgColor rgb="FFFEF3C7"/>
        </patternFill>
      </fill>
      <border>
        <left/>
        <right/>
        <top/>
        <bottom style="thin">
          <color rgb="FFD8DEE9"/>
        </bottom>
        <diagonal/>
      </border>
    </dxf>
    <dxf>
      <font>
        <color rgb="FF0F172A"/>
        <sz val="10"/>
      </font>
      <border>
        <left/>
        <right/>
        <top/>
        <bottom style="thin">
          <color rgb="FFD8DEE9"/>
        </bottom>
        <diagonal/>
      </border>
    </dxf>
    <dxf>
      <font>
        <color rgb="FFFFFFFF"/>
        <sz val="10"/>
      </font>
    </dxf>
    <dxf>
      <font>
        <color rgb="FF047857"/>
      </font>
    </dxf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v>Aportado · Rentabilidad · Saldo por cuenta</c:v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Aportado</c:v>
          </c:tx>
          <c:spPr>
            <a:solidFill>
              <a:srgbClr val="1D4ED8"/>
            </a:solidFill>
            <a:ln>
              <a:noFill/>
            </a:ln>
          </c:spPr>
          <c:invertIfNegative val="0"/>
          <c:cat>
            <c:strRef>
              <c:f>Movimientos!$F$25:$F$26</c:f>
            </c:strRef>
          </c:cat>
          <c:val>
            <c:numRef>
              <c:f>Movimientos!$H$25:$H$26</c:f>
            </c:numRef>
          </c:val>
        </c:ser>
        <c:ser>
          <c:idx val="1"/>
          <c:order val="1"/>
          <c:tx>
            <c:v>Rentabilidad</c:v>
          </c:tx>
          <c:spPr>
            <a:solidFill>
              <a:srgbClr val="047857"/>
            </a:solidFill>
            <a:ln>
              <a:noFill/>
            </a:ln>
          </c:spPr>
          <c:invertIfNegative val="0"/>
          <c:cat>
            <c:strRef>
              <c:f>Movimientos!$F$25:$F$26</c:f>
            </c:strRef>
          </c:cat>
          <c:val>
            <c:numRef>
              <c:f>Movimientos!$J$25:$J$26</c:f>
            </c:numRef>
          </c:val>
        </c:ser>
        <c:ser>
          <c:idx val="2"/>
          <c:order val="2"/>
          <c:tx>
            <c:v>Saldo</c:v>
          </c:tx>
          <c:spPr>
            <a:solidFill>
              <a:srgbClr val="EA580C"/>
            </a:solidFill>
            <a:ln>
              <a:noFill/>
            </a:ln>
          </c:spPr>
          <c:invertIfNegative val="0"/>
          <c:cat>
            <c:strRef>
              <c:f>Movimientos!$F$25:$F$26</c:f>
            </c:strRef>
          </c:cat>
          <c:val>
            <c:numRef>
              <c:f>Movimientos!$K$25:$K$26</c:f>
            </c:numRef>
          </c:val>
        </c:ser>
        <c:gapWidth val="60"/>
        <c:overlap val="-10"/>
        <c:axId val="100000001"/>
        <c:axId val="100000002"/>
      </c:barChart>
      <c:catAx>
        <c:axId val="1000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0000001"/>
        <c:crosses val="autoZero"/>
        <c:crossBetween val="between"/>
        <c:auto val="1"/>
        <c:lblAlgn val="ctr"/>
        <c:lblOffset val="100"/>
        <c:noMultiLvlLbl val="0"/>
      </c:valAx>
    </c:plotArea>
    <c:plotVisOnly val="1"/>
    <c:dispBlanksAs val="gap"/>
  </c:chart>
  <c:spPr>
    <a:solidFill>
      <a:srgbClr val="FFFFFF"/>
    </a:solidFill>
    <a:ln>
      <a:solidFill>
        <a:srgbClr val="D8DEE9"/>
      </a:solidFill>
    </a:ln>
  </c:sp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2" nam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  <pageSetUpPr fitToPage="1"/>
  </sheetPr>
  <dimension ref="A1:K6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21" customWidth="1"/>
    <col min="4" max="4" width="12" customWidth="1"/>
    <col min="5" max="5" width="2" customWidth="1"/>
    <col min="6" max="6" width="29" customWidth="1"/>
    <col min="7" max="7" width="11" customWidth="1"/>
    <col min="8" max="8" width="15" customWidth="1"/>
    <col min="9" max="9" width="10" customWidth="1"/>
    <col min="10" max="10" width="12" customWidth="1"/>
    <col min="11" max="11" width="13" customWidth="1"/>
  </cols>
  <sheetData>
    <row r="1" ht="2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F2" s="3" t="s">
        <v>2</v>
      </c>
      <c r="G2" s="4" t="s">
        <v>3</v>
      </c>
      <c r="H2" s="3" t="s">
        <v>4</v>
      </c>
      <c r="I2" s="3"/>
      <c r="J2" s="4" t="s">
        <v>5</v>
      </c>
      <c r="K2" s="3" t="s">
        <v>6</v>
      </c>
    </row>
    <row r="3" ht="26" customHeight="1" spans="1:11" x14ac:dyDescent="0.25">
      <c r="A3" s="2"/>
      <c r="B3" s="2"/>
      <c r="C3" s="2"/>
      <c r="D3" s="2"/>
      <c r="F3" s="5" t="s">
        <v>7</v>
      </c>
      <c r="G3" s="5"/>
      <c r="H3" s="5"/>
      <c r="I3" s="5"/>
      <c r="J3" s="5"/>
      <c r="K3" s="5"/>
    </row>
    <row r="4" ht="18" customHeight="1" spans="1:11" x14ac:dyDescent="0.25">
      <c r="A4" s="6" t="s">
        <v>8</v>
      </c>
      <c r="B4" s="6"/>
      <c r="C4" s="6"/>
      <c r="D4" s="6"/>
      <c r="F4" s="6" t="s">
        <v>9</v>
      </c>
      <c r="G4" s="6"/>
      <c r="H4" s="6"/>
      <c r="I4" s="6"/>
      <c r="J4" s="6"/>
      <c r="K4" s="6"/>
    </row>
    <row r="5" ht="16" customHeight="1" spans="1:11" x14ac:dyDescent="0.25">
      <c r="A5" s="7" t="s">
        <v>10</v>
      </c>
      <c r="B5" s="7" t="s">
        <v>11</v>
      </c>
      <c r="C5" s="7" t="s">
        <v>12</v>
      </c>
      <c r="D5" s="7" t="s">
        <v>13</v>
      </c>
      <c r="F5" s="7" t="s">
        <v>14</v>
      </c>
      <c r="G5" s="7" t="s">
        <v>15</v>
      </c>
      <c r="H5" s="8" t="s">
        <v>2</v>
      </c>
      <c r="I5" s="8" t="s">
        <v>16</v>
      </c>
      <c r="J5" s="8" t="s">
        <v>17</v>
      </c>
      <c r="K5" s="8" t="s">
        <v>6</v>
      </c>
    </row>
    <row r="6" spans="1:11" x14ac:dyDescent="0.25">
      <c r="A6" s="9">
        <v>46317</v>
      </c>
      <c r="B6" s="10"/>
      <c r="C6" s="10"/>
      <c r="D6" s="11"/>
      <c r="F6" s="12" t="s">
        <v>18</v>
      </c>
      <c r="G6" s="13"/>
      <c r="H6" s="13"/>
      <c r="I6" s="13"/>
      <c r="J6" s="13"/>
      <c r="K6" s="13"/>
    </row>
    <row r="7" spans="1:11" x14ac:dyDescent="0.25">
      <c r="A7" s="9">
        <v>46317</v>
      </c>
      <c r="B7" s="10"/>
      <c r="C7" s="10"/>
      <c r="D7" s="11"/>
      <c r="F7" s="12" t="s">
        <v>19</v>
      </c>
      <c r="G7" s="13"/>
      <c r="H7" s="13"/>
      <c r="I7" s="13"/>
      <c r="J7" s="13"/>
      <c r="K7" s="13"/>
    </row>
    <row r="8" spans="1:11" x14ac:dyDescent="0.25">
      <c r="A8" s="9">
        <v>46317</v>
      </c>
      <c r="B8" s="10"/>
      <c r="C8" s="10"/>
      <c r="D8" s="11"/>
      <c r="F8" s="14" t="s">
        <v>20</v>
      </c>
      <c r="G8" s="15" t="s">
        <v>21</v>
      </c>
      <c r="H8" s="16">
        <f>IFERROR(IF($F8="","",SUMIFS($D$6:$D$65,$C$6:$C$65,$F8)-SUMIFS($D$6:$D$65,$B$6:$B$65,$F8)-SUMIFS($D$6:$D$65,$C$6:$C$65,$F8,$B$6:$B$65,"Interés")+SUMIFS($D$6:$D$65,$B$6:$B$65,$F8,$C$6:$C$65,"Interés")),"")</f>
      </c>
      <c r="I8" s="17">
        <f>IFERROR(IF($F8="","",IF($H8=0,"",$J8/$H8)),"")</f>
      </c>
      <c r="J8" s="16">
        <f>IFERROR(IF($F8="","",$K8-$H8),"")</f>
      </c>
      <c r="K8" s="16">
        <f>IFERROR(IF($F8="","",SUMIFS($D$6:$D$65,$C$6:$C$65,$F8)-SUMIFS($D$6:$D$65,$B$6:$B$65,$F8)),"")</f>
      </c>
    </row>
    <row r="9" spans="1:11" x14ac:dyDescent="0.25">
      <c r="A9" s="9">
        <v>46317</v>
      </c>
      <c r="B9" s="10"/>
      <c r="C9" s="10"/>
      <c r="D9" s="11"/>
      <c r="F9" s="18" t="s">
        <v>22</v>
      </c>
      <c r="G9" s="15" t="s">
        <v>21</v>
      </c>
      <c r="H9" s="16">
        <f>IFERROR(IF($F9="","",SUMIFS($D$6:$D$65,$C$6:$C$65,$F9)-SUMIFS($D$6:$D$65,$B$6:$B$65,$F9)-SUMIFS($D$6:$D$65,$C$6:$C$65,$F9,$B$6:$B$65,"Interés")+SUMIFS($D$6:$D$65,$B$6:$B$65,$F9,$C$6:$C$65,"Interés")),"")</f>
      </c>
      <c r="I9" s="19"/>
      <c r="J9" s="16">
        <f>IFERROR(IF($F9="","",$K9-$H9),"")</f>
      </c>
      <c r="K9" s="16">
        <f>IFERROR(IF($F9="","",IF($H9=0,"",IF($I9="",$H9,$H9*(1+$I9)))),"")</f>
      </c>
    </row>
    <row r="10" spans="1:11" x14ac:dyDescent="0.25">
      <c r="A10" s="9">
        <v>46317</v>
      </c>
      <c r="B10" s="10"/>
      <c r="C10" s="10"/>
      <c r="D10" s="11"/>
      <c r="F10" s="18" t="s">
        <v>23</v>
      </c>
      <c r="G10" s="15" t="s">
        <v>21</v>
      </c>
      <c r="H10" s="16">
        <f>IFERROR(IF($F10="","",SUMIFS($D$6:$D$65,$C$6:$C$65,$F10)-SUMIFS($D$6:$D$65,$B$6:$B$65,$F10)-SUMIFS($D$6:$D$65,$C$6:$C$65,$F10,$B$6:$B$65,"Interés")+SUMIFS($D$6:$D$65,$B$6:$B$65,$F10,$C$6:$C$65,"Interés")),"")</f>
      </c>
      <c r="I10" s="19"/>
      <c r="J10" s="16">
        <f>IFERROR(IF($F10="","",$K10-$H10),"")</f>
      </c>
      <c r="K10" s="16">
        <f>IFERROR(IF($F10="","",IF($H10=0,"",IF($I10="",$H10,$H10*(1+$I10)))),"")</f>
      </c>
    </row>
    <row r="11" spans="1:11" x14ac:dyDescent="0.25">
      <c r="A11" s="9">
        <v>46317</v>
      </c>
      <c r="B11" s="10"/>
      <c r="C11" s="10"/>
      <c r="D11" s="11"/>
      <c r="F11" s="18" t="s">
        <v>24</v>
      </c>
      <c r="G11" s="15" t="s">
        <v>21</v>
      </c>
      <c r="H11" s="16">
        <f>IFERROR(IF($F11="","",SUMIFS($D$6:$D$65,$C$6:$C$65,$F11)-SUMIFS($D$6:$D$65,$B$6:$B$65,$F11)-SUMIFS($D$6:$D$65,$C$6:$C$65,$F11,$B$6:$B$65,"Interés")+SUMIFS($D$6:$D$65,$B$6:$B$65,$F11,$C$6:$C$65,"Interés")),"")</f>
      </c>
      <c r="I11" s="19"/>
      <c r="J11" s="16">
        <f>IFERROR(IF($F11="","",$K11-$H11),"")</f>
      </c>
      <c r="K11" s="16">
        <f>IFERROR(IF($F11="","",IF($H11=0,"",IF($I11="",$H11,$H11*(1+$I11)))),"")</f>
      </c>
    </row>
    <row r="12" spans="1:11" x14ac:dyDescent="0.25">
      <c r="A12" s="9">
        <v>46317</v>
      </c>
      <c r="B12" s="10"/>
      <c r="C12" s="10"/>
      <c r="D12" s="11"/>
      <c r="F12" s="18" t="s">
        <v>25</v>
      </c>
      <c r="G12" s="15" t="s">
        <v>21</v>
      </c>
      <c r="H12" s="16">
        <f>IFERROR(IF($F12="","",SUMIFS($D$6:$D$65,$C$6:$C$65,$F12)-SUMIFS($D$6:$D$65,$B$6:$B$65,$F12)-SUMIFS($D$6:$D$65,$C$6:$C$65,$F12,$B$6:$B$65,"Interés")+SUMIFS($D$6:$D$65,$B$6:$B$65,$F12,$C$6:$C$65,"Interés")),"")</f>
      </c>
      <c r="I12" s="19"/>
      <c r="J12" s="16">
        <f>IFERROR(IF($F12="","",$K12-$H12),"")</f>
      </c>
      <c r="K12" s="16">
        <f>IFERROR(IF($F12="","",IF($H12=0,"",IF($I12="",$H12,$H12*(1+$I12)))),"")</f>
      </c>
    </row>
    <row r="13" spans="1:11" x14ac:dyDescent="0.25">
      <c r="A13" s="9">
        <v>46317</v>
      </c>
      <c r="B13" s="10"/>
      <c r="C13" s="10"/>
      <c r="D13" s="11"/>
      <c r="F13" s="18" t="s">
        <v>26</v>
      </c>
      <c r="G13" s="15" t="s">
        <v>21</v>
      </c>
      <c r="H13" s="16">
        <f>IFERROR(IF($F13="","",SUMIFS($D$6:$D$65,$C$6:$C$65,$F13)-SUMIFS($D$6:$D$65,$B$6:$B$65,$F13)-SUMIFS($D$6:$D$65,$C$6:$C$65,$F13,$B$6:$B$65,"Interés")+SUMIFS($D$6:$D$65,$B$6:$B$65,$F13,$C$6:$C$65,"Interés")),"")</f>
      </c>
      <c r="I13" s="19"/>
      <c r="J13" s="16">
        <f>IFERROR(IF($F13="","",$K13-$H13),"")</f>
      </c>
      <c r="K13" s="16">
        <f>IFERROR(IF($F13="","",IF($H13=0,"",IF($I13="",$H13,$H13*(1+$I13)))),"")</f>
      </c>
    </row>
    <row r="14" spans="1:11" x14ac:dyDescent="0.25">
      <c r="A14" s="9">
        <v>46317</v>
      </c>
      <c r="B14" s="10"/>
      <c r="C14" s="10"/>
      <c r="D14" s="11"/>
      <c r="F14" s="20" t="s">
        <v>27</v>
      </c>
      <c r="G14" s="15" t="s">
        <v>21</v>
      </c>
      <c r="H14" s="16">
        <f>IFERROR(IF($F14="","",SUMIFS($D$6:$D$65,$C$6:$C$65,$F14)-SUMIFS($D$6:$D$65,$B$6:$B$65,$F14)-SUMIFS($D$6:$D$65,$C$6:$C$65,$F14,$B$6:$B$65,"Interés")+SUMIFS($D$6:$D$65,$B$6:$B$65,$F14,$C$6:$C$65,"Interés")),"")</f>
      </c>
      <c r="I14" s="17">
        <f>IFERROR(IF($F14="","",IF($H14=0,"",$J14/$H14)),"")</f>
      </c>
      <c r="J14" s="16">
        <f>IFERROR(IF($F14="","",$K14-$H14),"")</f>
      </c>
      <c r="K14" s="16">
        <f>IFERROR(IF($F14="","",SUMIFS($D$6:$D$65,$C$6:$C$65,$F14)-SUMIFS($D$6:$D$65,$B$6:$B$65,$F14)),"")</f>
      </c>
    </row>
    <row r="15" spans="1:11" x14ac:dyDescent="0.25">
      <c r="A15" s="9">
        <v>46317</v>
      </c>
      <c r="B15" s="10"/>
      <c r="C15" s="10"/>
      <c r="D15" s="11"/>
      <c r="F15" s="20" t="s">
        <v>28</v>
      </c>
      <c r="G15" s="15" t="s">
        <v>21</v>
      </c>
      <c r="H15" s="16">
        <f>IFERROR(IF($F15="","",SUMIFS($D$6:$D$65,$C$6:$C$65,$F15)-SUMIFS($D$6:$D$65,$B$6:$B$65,$F15)-SUMIFS($D$6:$D$65,$C$6:$C$65,$F15,$B$6:$B$65,"Interés")+SUMIFS($D$6:$D$65,$B$6:$B$65,$F15,$C$6:$C$65,"Interés")),"")</f>
      </c>
      <c r="I15" s="17">
        <f>IFERROR(IF($F15="","",IF($H15=0,"",$J15/$H15)),"")</f>
      </c>
      <c r="J15" s="16">
        <f>IFERROR(IF($F15="","",$K15-$H15),"")</f>
      </c>
      <c r="K15" s="16">
        <f>IFERROR(IF($F15="","",SUMIFS($D$6:$D$65,$C$6:$C$65,$F15)-SUMIFS($D$6:$D$65,$B$6:$B$65,$F15)),"")</f>
      </c>
    </row>
    <row r="16" spans="1:11" x14ac:dyDescent="0.25">
      <c r="A16" s="9">
        <v>46317</v>
      </c>
      <c r="B16" s="10"/>
      <c r="C16" s="10"/>
      <c r="D16" s="11"/>
      <c r="F16" s="21" t="s">
        <v>29</v>
      </c>
      <c r="G16" s="15" t="s">
        <v>30</v>
      </c>
      <c r="H16" s="16">
        <f>IFERROR(IF($F16="","",SUMIFS($D$6:$D$65,$C$6:$C$65,$F16)-SUMIFS($D$6:$D$65,$B$6:$B$65,$F16)-SUMIFS($D$6:$D$65,$C$6:$C$65,$F16,$B$6:$B$65,"Interés")+SUMIFS($D$6:$D$65,$B$6:$B$65,$F16,$C$6:$C$65,"Interés")),"")</f>
      </c>
      <c r="I16" s="19"/>
      <c r="J16" s="16">
        <f>IFERROR(IF($F16="","",$K16-$H16),"")</f>
      </c>
      <c r="K16" s="16">
        <f>IFERROR(IF($F16="","",IF($H16=0,"",IF($I16="",$H16,$H16*(1+$I16)))),"")</f>
      </c>
    </row>
    <row r="17" spans="1:11" x14ac:dyDescent="0.25">
      <c r="A17" s="9">
        <v>46317</v>
      </c>
      <c r="B17" s="10"/>
      <c r="C17" s="10"/>
      <c r="D17" s="11"/>
      <c r="F17" s="21" t="s">
        <v>31</v>
      </c>
      <c r="G17" s="15" t="s">
        <v>30</v>
      </c>
      <c r="H17" s="16">
        <f>IFERROR(IF($F17="","",SUMIFS($D$6:$D$65,$C$6:$C$65,$F17)-SUMIFS($D$6:$D$65,$B$6:$B$65,$F17)-SUMIFS($D$6:$D$65,$C$6:$C$65,$F17,$B$6:$B$65,"Interés")+SUMIFS($D$6:$D$65,$B$6:$B$65,$F17,$C$6:$C$65,"Interés")),"")</f>
      </c>
      <c r="I17" s="19"/>
      <c r="J17" s="16">
        <f>IFERROR(IF($F17="","",$K17-$H17),"")</f>
      </c>
      <c r="K17" s="16">
        <f>IFERROR(IF($F17="","",IF($H17=0,"",IF($I17="",$H17,$H17*(1+$I17)))),"")</f>
      </c>
    </row>
    <row r="18" spans="1:11" x14ac:dyDescent="0.25">
      <c r="A18" s="9">
        <v>46317</v>
      </c>
      <c r="B18" s="10"/>
      <c r="C18" s="10"/>
      <c r="D18" s="11"/>
      <c r="F18" s="22"/>
      <c r="G18" s="23"/>
      <c r="H18" s="16">
        <f>IFERROR(IF($F18="","",SUMIFS($D$6:$D$65,$C$6:$C$65,$F18)-SUMIFS($D$6:$D$65,$B$6:$B$65,$F18)-SUMIFS($D$6:$D$65,$C$6:$C$65,$F18,$B$6:$B$65,"Interés")+SUMIFS($D$6:$D$65,$B$6:$B$65,$F18,$C$6:$C$65,"Interés")),"")</f>
      </c>
      <c r="I18" s="19"/>
      <c r="J18" s="16">
        <f>IFERROR(IF($F18="","",$K18-$H18),"")</f>
      </c>
      <c r="K18" s="16">
        <f>IFERROR(IF($F18="","",IF($H18=0,"",IF($I18="",$H18,$H18*(1+$I18)))),"")</f>
      </c>
    </row>
    <row r="19" spans="1:11" x14ac:dyDescent="0.25">
      <c r="A19" s="9">
        <v>46317</v>
      </c>
      <c r="B19" s="10"/>
      <c r="C19" s="10"/>
      <c r="D19" s="11"/>
      <c r="F19" s="22"/>
      <c r="G19" s="23"/>
      <c r="H19" s="16">
        <f>IFERROR(IF($F19="","",SUMIFS($D$6:$D$65,$C$6:$C$65,$F19)-SUMIFS($D$6:$D$65,$B$6:$B$65,$F19)-SUMIFS($D$6:$D$65,$C$6:$C$65,$F19,$B$6:$B$65,"Interés")+SUMIFS($D$6:$D$65,$B$6:$B$65,$F19,$C$6:$C$65,"Interés")),"")</f>
      </c>
      <c r="I19" s="19"/>
      <c r="J19" s="16">
        <f>IFERROR(IF($F19="","",$K19-$H19),"")</f>
      </c>
      <c r="K19" s="16">
        <f>IFERROR(IF($F19="","",IF($H19=0,"",IF($I19="",$H19,$H19*(1+$I19)))),"")</f>
      </c>
    </row>
    <row r="20" spans="1:11" x14ac:dyDescent="0.25">
      <c r="A20" s="9">
        <v>46317</v>
      </c>
      <c r="B20" s="10"/>
      <c r="C20" s="10"/>
      <c r="D20" s="11"/>
      <c r="F20" s="22"/>
      <c r="G20" s="23"/>
      <c r="H20" s="16">
        <f>IFERROR(IF($F20="","",SUMIFS($D$6:$D$65,$C$6:$C$65,$F20)-SUMIFS($D$6:$D$65,$B$6:$B$65,$F20)-SUMIFS($D$6:$D$65,$C$6:$C$65,$F20,$B$6:$B$65,"Interés")+SUMIFS($D$6:$D$65,$B$6:$B$65,$F20,$C$6:$C$65,"Interés")),"")</f>
      </c>
      <c r="I20" s="19"/>
      <c r="J20" s="16">
        <f>IFERROR(IF($F20="","",$K20-$H20),"")</f>
      </c>
      <c r="K20" s="16">
        <f>IFERROR(IF($F20="","",IF($H20=0,"",IF($I20="",$H20,$H20*(1+$I20)))),"")</f>
      </c>
    </row>
    <row r="21" spans="1:11" x14ac:dyDescent="0.25">
      <c r="A21" s="9">
        <v>46317</v>
      </c>
      <c r="B21" s="10"/>
      <c r="C21" s="10"/>
      <c r="D21" s="11"/>
      <c r="F21" s="22"/>
      <c r="G21" s="23"/>
      <c r="H21" s="16">
        <f>IFERROR(IF($F21="","",SUMIFS($D$6:$D$65,$C$6:$C$65,$F21)-SUMIFS($D$6:$D$65,$B$6:$B$65,$F21)-SUMIFS($D$6:$D$65,$C$6:$C$65,$F21,$B$6:$B$65,"Interés")+SUMIFS($D$6:$D$65,$B$6:$B$65,$F21,$C$6:$C$65,"Interés")),"")</f>
      </c>
      <c r="I21" s="19"/>
      <c r="J21" s="16">
        <f>IFERROR(IF($F21="","",$K21-$H21),"")</f>
      </c>
      <c r="K21" s="16">
        <f>IFERROR(IF($F21="","",IF($H21=0,"",IF($I21="",$H21,$H21*(1+$I21)))),"")</f>
      </c>
    </row>
    <row r="22" spans="1:11" x14ac:dyDescent="0.25">
      <c r="A22" s="9">
        <v>46317</v>
      </c>
      <c r="B22" s="10"/>
      <c r="C22" s="10"/>
      <c r="D22" s="11"/>
      <c r="F22" s="22"/>
      <c r="G22" s="23"/>
      <c r="H22" s="16">
        <f>IFERROR(IF($F22="","",SUMIFS($D$6:$D$65,$C$6:$C$65,$F22)-SUMIFS($D$6:$D$65,$B$6:$B$65,$F22)-SUMIFS($D$6:$D$65,$C$6:$C$65,$F22,$B$6:$B$65,"Interés")+SUMIFS($D$6:$D$65,$B$6:$B$65,$F22,$C$6:$C$65,"Interés")),"")</f>
      </c>
      <c r="I22" s="19"/>
      <c r="J22" s="16">
        <f>IFERROR(IF($F22="","",$K22-$H22),"")</f>
      </c>
      <c r="K22" s="16">
        <f>IFERROR(IF($F22="","",IF($H22=0,"",IF($I22="",$H22,$H22*(1+$I22)))),"")</f>
      </c>
    </row>
    <row r="23" spans="1:11" x14ac:dyDescent="0.25">
      <c r="A23" s="9">
        <v>46317</v>
      </c>
      <c r="B23" s="10"/>
      <c r="C23" s="10"/>
      <c r="D23" s="11"/>
      <c r="F23" s="22"/>
      <c r="G23" s="23"/>
      <c r="H23" s="16">
        <f>IFERROR(IF($F23="","",SUMIFS($D$6:$D$65,$C$6:$C$65,$F23)-SUMIFS($D$6:$D$65,$B$6:$B$65,$F23)-SUMIFS($D$6:$D$65,$C$6:$C$65,$F23,$B$6:$B$65,"Interés")+SUMIFS($D$6:$D$65,$B$6:$B$65,$F23,$C$6:$C$65,"Interés")),"")</f>
      </c>
      <c r="I23" s="19"/>
      <c r="J23" s="16">
        <f>IFERROR(IF($F23="","",$K23-$H23),"")</f>
      </c>
      <c r="K23" s="16">
        <f>IFERROR(IF($F23="","",IF($H23=0,"",IF($I23="",$H23,$H23*(1+$I23)))),"")</f>
      </c>
    </row>
    <row r="24" spans="1:4" x14ac:dyDescent="0.25">
      <c r="A24" s="9">
        <v>46317</v>
      </c>
      <c r="B24" s="10"/>
      <c r="C24" s="10"/>
      <c r="D24" s="11"/>
    </row>
    <row r="25" spans="1:11" x14ac:dyDescent="0.25">
      <c r="A25" s="9">
        <v>46317</v>
      </c>
      <c r="B25" s="10"/>
      <c r="C25" s="10"/>
      <c r="D25" s="11"/>
      <c r="F25" s="24" t="s">
        <v>32</v>
      </c>
      <c r="G25" s="25"/>
      <c r="H25" s="26">
        <f>IFERROR(IF(SUM($H$8:$H$13)=0,"",SUM($H$8:$H$13)),"")</f>
      </c>
      <c r="I25" s="27">
        <f>IFERROR(IF($H25=0,"",$J25/$H25),"")</f>
      </c>
      <c r="J25" s="26">
        <f>IFERROR(IF(SUM($J$8:$J$13)=0,"",SUM($J$8:$J$13)),"")</f>
      </c>
      <c r="K25" s="26">
        <f>IFERROR(IF(SUM($K$8:$K$13)=0,"",SUM($K$8:$K$13)),"")</f>
      </c>
    </row>
    <row r="26" spans="1:11" x14ac:dyDescent="0.25">
      <c r="A26" s="9">
        <v>46317</v>
      </c>
      <c r="B26" s="10"/>
      <c r="C26" s="10"/>
      <c r="D26" s="11"/>
      <c r="F26" s="24" t="s">
        <v>33</v>
      </c>
      <c r="G26" s="25"/>
      <c r="H26" s="26">
        <f>IFERROR(IF(SUM($H$16:$H$17)=0,"",SUM($H$16:$H$17)),"")</f>
      </c>
      <c r="I26" s="27">
        <f>IFERROR(IF($H26=0,"",$J26/$H26),"")</f>
      </c>
      <c r="J26" s="26">
        <f>IFERROR(IF(SUM($J$16:$J$17)=0,"",SUM($J$16:$J$17)),"")</f>
      </c>
      <c r="K26" s="26">
        <f>IFERROR(IF(SUM($K$16:$K$17)=0,"",SUM($K$16:$K$17)),"")</f>
      </c>
    </row>
    <row r="27" spans="1:11" x14ac:dyDescent="0.25">
      <c r="A27" s="9">
        <v>46317</v>
      </c>
      <c r="B27" s="10"/>
      <c r="C27" s="10"/>
      <c r="D27" s="11"/>
      <c r="F27" s="24" t="s">
        <v>34</v>
      </c>
      <c r="G27" s="28" t="s">
        <v>21</v>
      </c>
      <c r="H27" s="26">
        <f>IFERROR(IF(SUMIFS($H$6:$H$23,$G$6:$G$23,"Marta")=0,"",SUMIFS($H$6:$H$23,$G$6:$G$23,"Marta")),"")</f>
      </c>
      <c r="I27" s="27">
        <f>IFERROR(IF($H27=0,"",$J27/$H27),"")</f>
      </c>
      <c r="J27" s="26">
        <f>IFERROR(IF(SUMIFS($J$6:$J$23,$G$6:$G$23,"Marta")=0,"",SUMIFS($J$6:$J$23,$G$6:$G$23,"Marta")),"")</f>
      </c>
      <c r="K27" s="26">
        <f>IFERROR(IF(SUMIFS($K$6:$K$23,$G$6:$G$23,"Marta")=0,"",SUMIFS($K$6:$K$23,$G$6:$G$23,"Marta")),"")</f>
      </c>
    </row>
    <row r="28" ht="18" customHeight="1" spans="1:11" x14ac:dyDescent="0.25">
      <c r="A28" s="9">
        <v>46317</v>
      </c>
      <c r="B28" s="10"/>
      <c r="C28" s="10"/>
      <c r="D28" s="11"/>
      <c r="F28" s="29" t="s">
        <v>35</v>
      </c>
      <c r="G28" s="29"/>
      <c r="H28" s="30">
        <f>IFERROR(IF(SUM($H$6:$H$23)=0,"",SUM($H$6:$H$23)),"")</f>
      </c>
      <c r="I28" s="31">
        <f>IFERROR(IF($H28=0,"",$J28/$H28),"")</f>
      </c>
      <c r="J28" s="30">
        <f>IFERROR(IF(SUM($J$6:$J$23)=0,"",SUM($J$6:$J$23)),"")</f>
      </c>
      <c r="K28" s="30">
        <f>IFERROR(IF(SUM($K$6:$K$23)=0,"",SUM($K$6:$K$23)),"")</f>
      </c>
    </row>
    <row r="29" spans="1:4" x14ac:dyDescent="0.25">
      <c r="A29" s="9">
        <v>46317</v>
      </c>
      <c r="B29" s="10"/>
      <c r="C29" s="10"/>
      <c r="D29" s="11"/>
    </row>
    <row r="30" spans="1:11" x14ac:dyDescent="0.25">
      <c r="A30" s="32" t="s">
        <v>36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11" x14ac:dyDescent="0.25">
      <c r="A31" s="32" t="s">
        <v>37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4" x14ac:dyDescent="0.25">
      <c r="A32" s="9">
        <v>46317</v>
      </c>
      <c r="B32" s="10"/>
      <c r="C32" s="10"/>
      <c r="D32" s="11"/>
    </row>
    <row r="33" spans="1:4" x14ac:dyDescent="0.25">
      <c r="A33" s="9">
        <v>46317</v>
      </c>
      <c r="B33" s="10"/>
      <c r="C33" s="10"/>
      <c r="D33" s="11"/>
    </row>
    <row r="34" spans="1:4" x14ac:dyDescent="0.25">
      <c r="A34" s="9">
        <v>46317</v>
      </c>
      <c r="B34" s="10"/>
      <c r="C34" s="10"/>
      <c r="D34" s="11"/>
    </row>
    <row r="35" spans="1:4" x14ac:dyDescent="0.25">
      <c r="A35" s="9">
        <v>46317</v>
      </c>
      <c r="B35" s="10"/>
      <c r="C35" s="10"/>
      <c r="D35" s="11"/>
    </row>
    <row r="36" spans="1:4" x14ac:dyDescent="0.25">
      <c r="A36" s="9">
        <v>46317</v>
      </c>
      <c r="B36" s="10"/>
      <c r="C36" s="10"/>
      <c r="D36" s="11"/>
    </row>
    <row r="37" spans="1:4" x14ac:dyDescent="0.25">
      <c r="A37" s="9">
        <v>46317</v>
      </c>
      <c r="B37" s="10"/>
      <c r="C37" s="10"/>
      <c r="D37" s="11"/>
    </row>
    <row r="38" spans="1:4" x14ac:dyDescent="0.25">
      <c r="A38" s="9">
        <v>46317</v>
      </c>
      <c r="B38" s="10"/>
      <c r="C38" s="10"/>
      <c r="D38" s="11"/>
    </row>
    <row r="39" spans="1:4" x14ac:dyDescent="0.25">
      <c r="A39" s="9">
        <v>46317</v>
      </c>
      <c r="B39" s="10"/>
      <c r="C39" s="10"/>
      <c r="D39" s="11"/>
    </row>
    <row r="40" spans="1:4" x14ac:dyDescent="0.25">
      <c r="A40" s="9">
        <v>46317</v>
      </c>
      <c r="B40" s="10"/>
      <c r="C40" s="10"/>
      <c r="D40" s="11"/>
    </row>
    <row r="41" spans="1:4" x14ac:dyDescent="0.25">
      <c r="A41" s="9">
        <v>46317</v>
      </c>
      <c r="B41" s="10"/>
      <c r="C41" s="10"/>
      <c r="D41" s="11"/>
    </row>
    <row r="42" spans="1:4" x14ac:dyDescent="0.25">
      <c r="A42" s="9">
        <v>46317</v>
      </c>
      <c r="B42" s="10"/>
      <c r="C42" s="10"/>
      <c r="D42" s="11"/>
    </row>
    <row r="43" spans="1:4" x14ac:dyDescent="0.25">
      <c r="A43" s="9">
        <v>46317</v>
      </c>
      <c r="B43" s="10"/>
      <c r="C43" s="10"/>
      <c r="D43" s="11"/>
    </row>
    <row r="44" spans="1:4" x14ac:dyDescent="0.25">
      <c r="A44" s="9">
        <v>46317</v>
      </c>
      <c r="B44" s="10"/>
      <c r="C44" s="10"/>
      <c r="D44" s="11"/>
    </row>
    <row r="45" spans="1:4" x14ac:dyDescent="0.25">
      <c r="A45" s="9">
        <v>46317</v>
      </c>
      <c r="B45" s="10"/>
      <c r="C45" s="10"/>
      <c r="D45" s="11"/>
    </row>
    <row r="46" spans="1:4" x14ac:dyDescent="0.25">
      <c r="A46" s="9">
        <v>46317</v>
      </c>
      <c r="B46" s="10"/>
      <c r="C46" s="10"/>
      <c r="D46" s="11"/>
    </row>
    <row r="47" spans="1:4" x14ac:dyDescent="0.25">
      <c r="A47" s="9">
        <v>46317</v>
      </c>
      <c r="B47" s="10"/>
      <c r="C47" s="10"/>
      <c r="D47" s="11"/>
    </row>
    <row r="48" spans="1:4" x14ac:dyDescent="0.25">
      <c r="A48" s="9">
        <v>46317</v>
      </c>
      <c r="B48" s="10"/>
      <c r="C48" s="10"/>
      <c r="D48" s="11"/>
    </row>
    <row r="49" spans="1:4" x14ac:dyDescent="0.25">
      <c r="A49" s="9">
        <v>46317</v>
      </c>
      <c r="B49" s="10"/>
      <c r="C49" s="10"/>
      <c r="D49" s="11"/>
    </row>
    <row r="50" spans="1:4" x14ac:dyDescent="0.25">
      <c r="A50" s="9">
        <v>46317</v>
      </c>
      <c r="B50" s="10"/>
      <c r="C50" s="10"/>
      <c r="D50" s="11"/>
    </row>
    <row r="51" spans="1:4" x14ac:dyDescent="0.25">
      <c r="A51" s="9">
        <v>46317</v>
      </c>
      <c r="B51" s="10"/>
      <c r="C51" s="10"/>
      <c r="D51" s="11"/>
    </row>
    <row r="52" spans="1:4" x14ac:dyDescent="0.25">
      <c r="A52" s="9">
        <v>46317</v>
      </c>
      <c r="B52" s="10"/>
      <c r="C52" s="10"/>
      <c r="D52" s="11"/>
    </row>
    <row r="53" spans="1:4" x14ac:dyDescent="0.25">
      <c r="A53" s="9">
        <v>46317</v>
      </c>
      <c r="B53" s="10"/>
      <c r="C53" s="10"/>
      <c r="D53" s="11"/>
    </row>
    <row r="54" spans="1:4" x14ac:dyDescent="0.25">
      <c r="A54" s="9">
        <v>46317</v>
      </c>
      <c r="B54" s="10"/>
      <c r="C54" s="10"/>
      <c r="D54" s="11"/>
    </row>
    <row r="55" spans="1:4" x14ac:dyDescent="0.25">
      <c r="A55" s="9">
        <v>46317</v>
      </c>
      <c r="B55" s="10"/>
      <c r="C55" s="10"/>
      <c r="D55" s="11"/>
    </row>
    <row r="56" spans="1:4" x14ac:dyDescent="0.25">
      <c r="A56" s="9">
        <v>46317</v>
      </c>
      <c r="B56" s="10"/>
      <c r="C56" s="10"/>
      <c r="D56" s="11"/>
    </row>
    <row r="57" spans="1:4" x14ac:dyDescent="0.25">
      <c r="A57" s="9">
        <v>46317</v>
      </c>
      <c r="B57" s="10"/>
      <c r="C57" s="10"/>
      <c r="D57" s="11"/>
    </row>
    <row r="58" spans="1:4" x14ac:dyDescent="0.25">
      <c r="A58" s="9">
        <v>46317</v>
      </c>
      <c r="B58" s="10"/>
      <c r="C58" s="10"/>
      <c r="D58" s="11"/>
    </row>
    <row r="59" spans="1:4" x14ac:dyDescent="0.25">
      <c r="A59" s="9">
        <v>46317</v>
      </c>
      <c r="B59" s="10"/>
      <c r="C59" s="10"/>
      <c r="D59" s="11"/>
    </row>
    <row r="60" spans="1:4" x14ac:dyDescent="0.25">
      <c r="A60" s="9">
        <v>46317</v>
      </c>
      <c r="B60" s="10"/>
      <c r="C60" s="10"/>
      <c r="D60" s="11"/>
    </row>
    <row r="61" spans="1:4" x14ac:dyDescent="0.25">
      <c r="A61" s="9">
        <v>46317</v>
      </c>
      <c r="B61" s="10"/>
      <c r="C61" s="10"/>
      <c r="D61" s="11"/>
    </row>
    <row r="62" spans="1:4" x14ac:dyDescent="0.25">
      <c r="A62" s="9">
        <v>46317</v>
      </c>
      <c r="B62" s="10"/>
      <c r="C62" s="10"/>
      <c r="D62" s="11"/>
    </row>
    <row r="63" spans="1:4" x14ac:dyDescent="0.25">
      <c r="A63" s="9">
        <v>46317</v>
      </c>
      <c r="B63" s="10"/>
      <c r="C63" s="10"/>
      <c r="D63" s="11"/>
    </row>
    <row r="64" spans="1:4" x14ac:dyDescent="0.25">
      <c r="A64" s="9">
        <v>46317</v>
      </c>
      <c r="B64" s="10"/>
      <c r="C64" s="10"/>
      <c r="D64" s="11"/>
    </row>
    <row r="65" spans="1:4" x14ac:dyDescent="0.25">
      <c r="A65" s="9">
        <v>46317</v>
      </c>
      <c r="B65" s="10"/>
      <c r="C65" s="10"/>
      <c r="D65" s="11"/>
    </row>
  </sheetData>
  <mergeCells count="8">
    <mergeCell ref="A1:K1"/>
    <mergeCell ref="A2:D3"/>
    <mergeCell ref="H2:I2"/>
    <mergeCell ref="F3:K3"/>
    <mergeCell ref="A4:D4"/>
    <mergeCell ref="F4:K4"/>
    <mergeCell ref="A30:K30"/>
    <mergeCell ref="A31:K31"/>
  </mergeCells>
  <conditionalFormatting sqref="A6:D65">
    <cfRule type="expression" dxfId="0" priority="1">
      <formula>AND($D5&lt;&gt;"",$D6="")</formula>
    </cfRule>
    <cfRule type="expression" dxfId="1" priority="2">
      <formula>$D5&lt;&gt;""</formula>
    </cfRule>
    <cfRule type="expression" dxfId="2" priority="3">
      <formula>$D5=""</formula>
    </cfRule>
  </conditionalFormatting>
  <conditionalFormatting sqref="I6:J23">
    <cfRule type="cellIs" dxfId="3" priority="4" operator="greaterThan">
      <formula>0</formula>
    </cfRule>
    <cfRule type="cellIs" dxfId="4" priority="5" operator="lessThan">
      <formula>0</formula>
    </cfRule>
  </conditionalFormatting>
  <dataValidations count="3">
    <dataValidation type="list" allowBlank="1" sqref="B6:B65">
      <formula1>ListaNombres</formula1>
    </dataValidation>
    <dataValidation type="list" allowBlank="1" sqref="C6:C65">
      <formula1>ListaNombres</formula1>
    </dataValidation>
    <dataValidation type="decimal" operator="greaterThan" allowBlank="1" sqref="D6:D65">
      <formula1>0</formula1>
    </dataValidation>
  </dataValidations>
  <pageMargins left="0.3" right="0.3" top="0.4" bottom="0.4" header="0" footer="0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Inversiones</dc:creator>
  <dc:title/>
  <dc:subject/>
  <dc:description/>
  <cp:keywords/>
  <cp:category/>
  <cp:lastModifiedBy>Unknown</cp:lastModifiedBy>
  <dcterms:created xsi:type="dcterms:W3CDTF">2026-10-22T13:30:25Z</dcterms:created>
  <dcterms:modified xsi:type="dcterms:W3CDTF">2026-10-22T13:30:25Z</dcterms:modified>
</cp:coreProperties>
</file>