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</sheets>
  <definedNames>
    <definedName name="ListaNombres">OFFSET('Movimientos'!$F$6,0,0,MAX(COUNTA('Movimientos'!$F$6:$F$23),1),1)</definedName>
    <definedName name="_xlnm.Print_Area" localSheetId="0">'Movimientos'!$A1:$K47</definedName>
    <definedName name="_xlnm.Print_Titles" localSheetId="0">'Movimientos'!$1:$5</definedName>
  </definedNames>
  <calcPr calcId="171027" fullCalcOnLoad="1"/>
</workbook>
</file>

<file path=xl/sharedStrings.xml><?xml version="1.0" encoding="utf-8"?>
<sst xmlns="http://schemas.openxmlformats.org/spreadsheetml/2006/main" count="50" uniqueCount="38">
  <si>
    <t>MIS INVERSIONES · MOVIMIENTOS: DE DÓNDE VIENE EL DINERO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</si>
  <si>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</si>
  <si>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</si>
  <si>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</si>
  <si>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</si>
  <si>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</si>
  <si>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</si>
  <si>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</si>
  <si>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</si>
  <si>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</si>
  <si>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</si>
  <si>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</si>
  <si>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</si>
  <si>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</si>
  <si>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Cuenta e inversiones</t>
  </si>
  <si>
    <t>Titular</t>
  </si>
  <si>
    <t>Rentab. %</t>
  </si>
  <si>
    <t>Rentab. €</t>
  </si>
  <si>
    <t>Exterior</t>
  </si>
  <si>
    <t>Interés</t>
  </si>
  <si>
    <t>MyInvestor</t>
  </si>
  <si>
    <t>Marta</t>
  </si>
  <si>
    <t>Vanguard Global Stock Index</t>
  </si>
  <si>
    <t>Fidelity MSCI World Index</t>
  </si>
  <si>
    <t>Cartera indexada Metal</t>
  </si>
  <si>
    <t>Depósito 12 meses</t>
  </si>
  <si>
    <t>Plan de pensiones indexado global</t>
  </si>
  <si>
    <t>Cuenta nómina · BBVA</t>
  </si>
  <si>
    <t>Cuenta ahorro · ING</t>
  </si>
  <si>
    <t>Fondo indexado</t>
  </si>
  <si>
    <t>Fondo ahorro</t>
  </si>
  <si>
    <t>Depósito ahorro</t>
  </si>
  <si>
    <t>Total MyInvestor</t>
  </si>
  <si>
    <t>Total Marta</t>
  </si>
  <si>
    <t>Total Fondo ahorro</t>
  </si>
  <si>
    <t>TOTAL</t>
  </si>
  <si>
    <t>Para añadir una inversión: escribe su nombre (y su titular) en una fila libre del final. Para quitarla: borra su fila. Entra al momento en los desplegables.</t>
  </si>
  <si>
    <t>En las inversiones se escribe la rentabilidad en % (la celda amarilla, como en la app) y el saldo se calcula solo. «Exterior» es el dinero que entra o sale de fuera; «Interés», lo que paga el banco (rentabilidad, no dinero aportado).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</si>
</sst>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16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sz val="10"/>
    </font>
    <font>
      <color rgb="FF2447B8"/>
      <sz val="10"/>
    </font>
    <font>
      <b/>
      <color rgb="FF2447B8"/>
      <sz val="10"/>
    </font>
    <font>
      <color rgb="FFEA580C"/>
      <sz val="10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FFFBE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11" fillId="0" borderId="1" xfId="0" applyNumberFormat="1" applyFont="1" applyBorder="1"/>
    <xf numFmtId="166" fontId="11" fillId="0" borderId="1" xfId="0" applyNumberFormat="1" applyFont="1" applyBorder="1"/>
    <xf numFmtId="0" fontId="12" fillId="0" borderId="1" xfId="0" applyFont="1" applyBorder="1" applyAlignment="1">
      <alignment indent="1"/>
    </xf>
    <xf numFmtId="166" fontId="11" fillId="6" borderId="1" xfId="0" applyNumberFormat="1" applyFont="1" applyFill="1" applyBorder="1"/>
    <xf numFmtId="0" fontId="13" fillId="0" borderId="1" xfId="0" applyFont="1" applyBorder="1" applyAlignment="1"/>
    <xf numFmtId="0" fontId="14" fillId="0" borderId="1" xfId="0" applyFont="1" applyBorder="1" applyAlignment="1"/>
    <xf numFmtId="0" fontId="8" fillId="6" borderId="1" xfId="0" applyFont="1" applyFill="1" applyBorder="1" applyAlignment="1">
      <alignment indent="1"/>
    </xf>
    <xf numFmtId="0" fontId="2" fillId="6" borderId="1" xfId="0" applyFont="1" applyFill="1" applyBorder="1" applyAlignment="1">
      <alignment horizontal="center"/>
    </xf>
    <xf numFmtId="0" fontId="10" fillId="4" borderId="0" xfId="0" applyFont="1" applyFill="1"/>
    <xf numFmtId="0" fontId="0" fillId="4" borderId="0" xfId="0" applyFill="1"/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2" fillId="4" borderId="0" xfId="0" applyFont="1" applyFill="1" applyAlignment="1">
      <alignment horizontal="center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/>
  </cellXfs>
  <cellStyles count="1">
    <cellStyle name="Normal" xfId="0" builtinId="0"/>
  </cellStyles>
  <dxfs count="7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v>Aportado neto y beneficio / pérdida por titular</c:v>
      </c:tx>
      <c:overlay val="0"/>
      <c:txPr>
        <a:bodyPr/>
        <a:lstStyle/>
        <a:p>
          <a:pPr>
            <a:defRPr sz="1000" b="0">
              <a:solidFill>
                <a:srgbClr val="334155"/>
              </a:solidFill>
            </a:defRPr>
          </a:pPr>
          <a:endParaRPr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 neto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Marta</c:v>
              </c:pt>
              <c:pt idx="1">
                <c:v>Fondo ahorro</c:v>
              </c:pt>
            </c:strLit>
          </c:cat>
          <c:val>
            <c:numRef>
              <c:f>Movimientos!$H$26:$H$27</c:f>
            </c:numRef>
          </c:val>
        </c:ser>
        <c:ser>
          <c:idx val="1"/>
          <c:order val="1"/>
          <c:tx>
            <c:v>Beneficio-pérdida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Marta</c:v>
              </c:pt>
              <c:pt idx="1">
                <c:v>Fondo ahorro</c:v>
              </c:pt>
            </c:strLit>
          </c:cat>
          <c:val>
            <c:numRef>
              <c:f>Movimientos!$J$26:$J$27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9</xdr:col>
      <xdr:colOff>0</xdr:colOff>
      <xdr:row>46</xdr:row>
      <xdr:rowOff>0</xdr:rowOff>
    </xdr:to>
    <xdr:graphicFrame macro="">
      <xdr:nvGraphicFramePr>
        <xdr:cNvPr id="2" nam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6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46317</v>
      </c>
      <c r="B6" s="10"/>
      <c r="C6" s="10"/>
      <c r="D6" s="11"/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46317</v>
      </c>
      <c r="B7" s="10"/>
      <c r="C7" s="10"/>
      <c r="D7" s="11"/>
      <c r="F7" s="12" t="s">
        <v>19</v>
      </c>
      <c r="G7" s="13"/>
      <c r="H7" s="13"/>
      <c r="I7" s="13"/>
      <c r="J7" s="13"/>
      <c r="K7" s="13"/>
    </row>
    <row r="8" spans="1:11" x14ac:dyDescent="0.25">
      <c r="A8" s="9">
        <v>46317</v>
      </c>
      <c r="B8" s="10"/>
      <c r="C8" s="10"/>
      <c r="D8" s="11"/>
      <c r="F8" s="14" t="s">
        <v>20</v>
      </c>
      <c r="G8" s="15" t="s">
        <v>21</v>
      </c>
      <c r="H8" s="16">
        <f>IFERROR(IF($F8="","",SUMIFS($D$6:$D$65,$C$6:$C$65,$F8)-SUMIFS($D$6:$D$65,$B$6:$B$65,$F8)-SUMIFS($D$6:$D$65,$C$6:$C$65,$F8,$B$6:$B$65,"Interés")+SUMIFS($D$6:$D$65,$B$6:$B$65,$F8,$C$6:$C$65,"Interés")),"")</f>
      </c>
      <c r="I8" s="17">
        <f>IFERROR(IF($F8="","",IF($H8=0,"",$J8/$H8)),"")</f>
      </c>
      <c r="J8" s="16">
        <f>IFERROR(IF($F8="","",$K8-$H8),"")</f>
      </c>
      <c r="K8" s="16">
        <f>IFERROR(IF($F8="","",SUMIFS($D$6:$D$65,$C$6:$C$65,$F8)-SUMIFS($D$6:$D$65,$B$6:$B$65,$F8)),"")</f>
      </c>
    </row>
    <row r="9" spans="1:11" x14ac:dyDescent="0.25">
      <c r="A9" s="9">
        <v>46317</v>
      </c>
      <c r="B9" s="10"/>
      <c r="C9" s="10"/>
      <c r="D9" s="11"/>
      <c r="F9" s="18" t="s">
        <v>22</v>
      </c>
      <c r="G9" s="15" t="s">
        <v>21</v>
      </c>
      <c r="H9" s="16">
        <f>IFERROR(IF($F9="","",SUMIFS($D$6:$D$65,$C$6:$C$65,$F9)-SUMIFS($D$6:$D$65,$B$6:$B$65,$F9)-SUMIFS($D$6:$D$65,$C$6:$C$65,$F9,$B$6:$B$65,"Interés")+SUMIFS($D$6:$D$65,$B$6:$B$65,$F9,$C$6:$C$65,"Interés")),"")</f>
      </c>
      <c r="I9" s="19"/>
      <c r="J9" s="16">
        <f>IFERROR(IF($F9="","",$K9-$H9),"")</f>
      </c>
      <c r="K9" s="16">
        <f>IFERROR(IF($F9="","",IF($H9=0,"",IF($I9="",$H9,$H9*(1+$I9)))),"")</f>
      </c>
    </row>
    <row r="10" spans="1:11" x14ac:dyDescent="0.25">
      <c r="A10" s="9">
        <v>46317</v>
      </c>
      <c r="B10" s="10"/>
      <c r="C10" s="10"/>
      <c r="D10" s="11"/>
      <c r="F10" s="18" t="s">
        <v>23</v>
      </c>
      <c r="G10" s="15" t="s">
        <v>21</v>
      </c>
      <c r="H10" s="16">
        <f>IFERROR(IF($F10="","",SUMIFS($D$6:$D$65,$C$6:$C$65,$F10)-SUMIFS($D$6:$D$65,$B$6:$B$65,$F10)-SUMIFS($D$6:$D$65,$C$6:$C$65,$F10,$B$6:$B$65,"Interés")+SUMIFS($D$6:$D$65,$B$6:$B$65,$F10,$C$6:$C$65,"Interés")),"")</f>
      </c>
      <c r="I10" s="19"/>
      <c r="J10" s="16">
        <f>IFERROR(IF($F10="","",$K10-$H10),"")</f>
      </c>
      <c r="K10" s="16">
        <f>IFERROR(IF($F10="","",IF($H10=0,"",IF($I10="",$H10,$H10*(1+$I10)))),"")</f>
      </c>
    </row>
    <row r="11" spans="1:11" x14ac:dyDescent="0.25">
      <c r="A11" s="9">
        <v>46317</v>
      </c>
      <c r="B11" s="10"/>
      <c r="C11" s="10"/>
      <c r="D11" s="11"/>
      <c r="F11" s="18" t="s">
        <v>24</v>
      </c>
      <c r="G11" s="15" t="s">
        <v>21</v>
      </c>
      <c r="H11" s="16">
        <f>IFERROR(IF($F11="","",SUMIFS($D$6:$D$65,$C$6:$C$65,$F11)-SUMIFS($D$6:$D$65,$B$6:$B$65,$F11)-SUMIFS($D$6:$D$65,$C$6:$C$65,$F11,$B$6:$B$65,"Interés")+SUMIFS($D$6:$D$65,$B$6:$B$65,$F11,$C$6:$C$65,"Interés")),"")</f>
      </c>
      <c r="I11" s="19"/>
      <c r="J11" s="16">
        <f>IFERROR(IF($F11="","",$K11-$H11),"")</f>
      </c>
      <c r="K11" s="16">
        <f>IFERROR(IF($F11="","",IF($H11=0,"",IF($I11="",$H11,$H11*(1+$I11)))),"")</f>
      </c>
    </row>
    <row r="12" spans="1:11" x14ac:dyDescent="0.25">
      <c r="A12" s="9">
        <v>46317</v>
      </c>
      <c r="B12" s="10"/>
      <c r="C12" s="10"/>
      <c r="D12" s="11"/>
      <c r="F12" s="18" t="s">
        <v>25</v>
      </c>
      <c r="G12" s="15" t="s">
        <v>21</v>
      </c>
      <c r="H12" s="16">
        <f>IFERROR(IF($F12="","",SUMIFS($D$6:$D$65,$C$6:$C$65,$F12)-SUMIFS($D$6:$D$65,$B$6:$B$65,$F12)-SUMIFS($D$6:$D$65,$C$6:$C$65,$F12,$B$6:$B$65,"Interés")+SUMIFS($D$6:$D$65,$B$6:$B$65,$F12,$C$6:$C$65,"Interés")),"")</f>
      </c>
      <c r="I12" s="19"/>
      <c r="J12" s="16">
        <f>IFERROR(IF($F12="","",$K12-$H12),"")</f>
      </c>
      <c r="K12" s="16">
        <f>IFERROR(IF($F12="","",IF($H12=0,"",IF($I12="",$H12,$H12*(1+$I12)))),"")</f>
      </c>
    </row>
    <row r="13" spans="1:11" x14ac:dyDescent="0.25">
      <c r="A13" s="9">
        <v>46317</v>
      </c>
      <c r="B13" s="10"/>
      <c r="C13" s="10"/>
      <c r="D13" s="11"/>
      <c r="F13" s="18" t="s">
        <v>26</v>
      </c>
      <c r="G13" s="15" t="s">
        <v>21</v>
      </c>
      <c r="H13" s="16">
        <f>IFERROR(IF($F13="","",SUMIFS($D$6:$D$65,$C$6:$C$65,$F13)-SUMIFS($D$6:$D$65,$B$6:$B$65,$F13)-SUMIFS($D$6:$D$65,$C$6:$C$65,$F13,$B$6:$B$65,"Interés")+SUMIFS($D$6:$D$65,$B$6:$B$65,$F13,$C$6:$C$65,"Interés")),"")</f>
      </c>
      <c r="I13" s="19"/>
      <c r="J13" s="16">
        <f>IFERROR(IF($F13="","",$K13-$H13),"")</f>
      </c>
      <c r="K13" s="16">
        <f>IFERROR(IF($F13="","",IF($H13=0,"",IF($I13="",$H13,$H13*(1+$I13)))),"")</f>
      </c>
    </row>
    <row r="14" spans="1:11" x14ac:dyDescent="0.25">
      <c r="A14" s="9">
        <v>46317</v>
      </c>
      <c r="B14" s="10"/>
      <c r="C14" s="10"/>
      <c r="D14" s="11"/>
      <c r="F14" s="20" t="s">
        <v>27</v>
      </c>
      <c r="G14" s="15" t="s">
        <v>21</v>
      </c>
      <c r="H14" s="16">
        <f>IFERROR(IF($F14="","",SUMIFS($D$6:$D$65,$C$6:$C$65,$F14)-SUMIFS($D$6:$D$65,$B$6:$B$65,$F14)-SUMIFS($D$6:$D$65,$C$6:$C$65,$F14,$B$6:$B$65,"Interés")+SUMIFS($D$6:$D$65,$B$6:$B$65,$F14,$C$6:$C$65,"Interés")),"")</f>
      </c>
      <c r="I14" s="17">
        <f>IFERROR(IF($F14="","",IF($H14=0,"",$J14/$H14)),"")</f>
      </c>
      <c r="J14" s="16">
        <f>IFERROR(IF($F14="","",$K14-$H14),"")</f>
      </c>
      <c r="K14" s="16">
        <f>IFERROR(IF($F14="","",SUMIFS($D$6:$D$65,$C$6:$C$65,$F14)-SUMIFS($D$6:$D$65,$B$6:$B$65,$F14)),"")</f>
      </c>
    </row>
    <row r="15" spans="1:11" x14ac:dyDescent="0.25">
      <c r="A15" s="9">
        <v>46317</v>
      </c>
      <c r="B15" s="10"/>
      <c r="C15" s="10"/>
      <c r="D15" s="11"/>
      <c r="F15" s="20" t="s">
        <v>28</v>
      </c>
      <c r="G15" s="15" t="s">
        <v>21</v>
      </c>
      <c r="H15" s="16">
        <f>IFERROR(IF($F15="","",SUMIFS($D$6:$D$65,$C$6:$C$65,$F15)-SUMIFS($D$6:$D$65,$B$6:$B$65,$F15)-SUMIFS($D$6:$D$65,$C$6:$C$65,$F15,$B$6:$B$65,"Interés")+SUMIFS($D$6:$D$65,$B$6:$B$65,$F15,$C$6:$C$65,"Interés")),"")</f>
      </c>
      <c r="I15" s="17">
        <f>IFERROR(IF($F15="","",IF($H15=0,"",$J15/$H15)),"")</f>
      </c>
      <c r="J15" s="16">
        <f>IFERROR(IF($F15="","",$K15-$H15),"")</f>
      </c>
      <c r="K15" s="16">
        <f>IFERROR(IF($F15="","",SUMIFS($D$6:$D$65,$C$6:$C$65,$F15)-SUMIFS($D$6:$D$65,$B$6:$B$65,$F15)),"")</f>
      </c>
    </row>
    <row r="16" spans="1:11" x14ac:dyDescent="0.25">
      <c r="A16" s="9">
        <v>46317</v>
      </c>
      <c r="B16" s="10"/>
      <c r="C16" s="10"/>
      <c r="D16" s="11"/>
      <c r="F16" s="21" t="s">
        <v>29</v>
      </c>
      <c r="G16" s="15" t="s">
        <v>30</v>
      </c>
      <c r="H16" s="16">
        <f>IFERROR(IF($F16="","",SUMIFS($D$6:$D$65,$C$6:$C$65,$F16)-SUMIFS($D$6:$D$65,$B$6:$B$65,$F16)-SUMIFS($D$6:$D$65,$C$6:$C$65,$F16,$B$6:$B$65,"Interés")+SUMIFS($D$6:$D$65,$B$6:$B$65,$F16,$C$6:$C$65,"Interés")),"")</f>
      </c>
      <c r="I16" s="19"/>
      <c r="J16" s="16">
        <f>IFERROR(IF($F16="","",$K16-$H16),"")</f>
      </c>
      <c r="K16" s="16">
        <f>IFERROR(IF($F16="","",IF($H16=0,"",IF($I16="",$H16,$H16*(1+$I16)))),"")</f>
      </c>
    </row>
    <row r="17" spans="1:11" x14ac:dyDescent="0.25">
      <c r="A17" s="9">
        <v>46317</v>
      </c>
      <c r="B17" s="10"/>
      <c r="C17" s="10"/>
      <c r="D17" s="11"/>
      <c r="F17" s="21" t="s">
        <v>31</v>
      </c>
      <c r="G17" s="15" t="s">
        <v>30</v>
      </c>
      <c r="H17" s="16">
        <f>IFERROR(IF($F17="","",SUMIFS($D$6:$D$65,$C$6:$C$65,$F17)-SUMIFS($D$6:$D$65,$B$6:$B$65,$F17)-SUMIFS($D$6:$D$65,$C$6:$C$65,$F17,$B$6:$B$65,"Interés")+SUMIFS($D$6:$D$65,$B$6:$B$65,$F17,$C$6:$C$65,"Interés")),"")</f>
      </c>
      <c r="I17" s="19"/>
      <c r="J17" s="16">
        <f>IFERROR(IF($F17="","",$K17-$H17),"")</f>
      </c>
      <c r="K17" s="16">
        <f>IFERROR(IF($F17="","",IF($H17=0,"",IF($I17="",$H17,$H17*(1+$I17)))),"")</f>
      </c>
    </row>
    <row r="18" spans="1:11" x14ac:dyDescent="0.25">
      <c r="A18" s="9">
        <v>46317</v>
      </c>
      <c r="B18" s="10"/>
      <c r="C18" s="10"/>
      <c r="D18" s="11"/>
      <c r="F18" s="22"/>
      <c r="G18" s="23"/>
      <c r="H18" s="16">
        <f>IFERROR(IF($F18="","",SUMIFS($D$6:$D$65,$C$6:$C$65,$F18)-SUMIFS($D$6:$D$65,$B$6:$B$65,$F18)-SUMIFS($D$6:$D$65,$C$6:$C$65,$F18,$B$6:$B$65,"Interés")+SUMIFS($D$6:$D$65,$B$6:$B$65,$F18,$C$6:$C$65,"Interés")),"")</f>
      </c>
      <c r="I18" s="19"/>
      <c r="J18" s="16">
        <f>IFERROR(IF($F18="","",$K18-$H18),"")</f>
      </c>
      <c r="K18" s="16">
        <f>IFERROR(IF($F18="","",IF($H18=0,"",IF($I18="",$H18,$H18*(1+$I18)))),"")</f>
      </c>
    </row>
    <row r="19" spans="1:11" x14ac:dyDescent="0.25">
      <c r="A19" s="9">
        <v>46317</v>
      </c>
      <c r="B19" s="10"/>
      <c r="C19" s="10"/>
      <c r="D19" s="11"/>
      <c r="F19" s="22"/>
      <c r="G19" s="23"/>
      <c r="H19" s="16">
        <f>IFERROR(IF($F19="","",SUMIFS($D$6:$D$65,$C$6:$C$65,$F19)-SUMIFS($D$6:$D$65,$B$6:$B$65,$F19)-SUMIFS($D$6:$D$65,$C$6:$C$65,$F19,$B$6:$B$65,"Interés")+SUMIFS($D$6:$D$65,$B$6:$B$65,$F19,$C$6:$C$65,"Interés")),"")</f>
      </c>
      <c r="I19" s="19"/>
      <c r="J19" s="16">
        <f>IFERROR(IF($F19="","",$K19-$H19),"")</f>
      </c>
      <c r="K19" s="16">
        <f>IFERROR(IF($F19="","",IF($H19=0,"",IF($I19="",$H19,$H19*(1+$I19)))),"")</f>
      </c>
    </row>
    <row r="20" spans="1:11" x14ac:dyDescent="0.25">
      <c r="A20" s="9">
        <v>46317</v>
      </c>
      <c r="B20" s="10"/>
      <c r="C20" s="10"/>
      <c r="D20" s="11"/>
      <c r="F20" s="22"/>
      <c r="G20" s="23"/>
      <c r="H20" s="16">
        <f>IFERROR(IF($F20="","",SUMIFS($D$6:$D$65,$C$6:$C$65,$F20)-SUMIFS($D$6:$D$65,$B$6:$B$65,$F20)-SUMIFS($D$6:$D$65,$C$6:$C$65,$F20,$B$6:$B$65,"Interés")+SUMIFS($D$6:$D$65,$B$6:$B$65,$F20,$C$6:$C$65,"Interés")),"")</f>
      </c>
      <c r="I20" s="19"/>
      <c r="J20" s="16">
        <f>IFERROR(IF($F20="","",$K20-$H20),"")</f>
      </c>
      <c r="K20" s="16">
        <f>IFERROR(IF($F20="","",IF($H20=0,"",IF($I20="",$H20,$H20*(1+$I20)))),"")</f>
      </c>
    </row>
    <row r="21" spans="1:11" x14ac:dyDescent="0.25">
      <c r="A21" s="9">
        <v>46317</v>
      </c>
      <c r="B21" s="10"/>
      <c r="C21" s="10"/>
      <c r="D21" s="11"/>
      <c r="F21" s="22"/>
      <c r="G21" s="23"/>
      <c r="H21" s="16">
        <f>IFERROR(IF($F21="","",SUMIFS($D$6:$D$65,$C$6:$C$65,$F21)-SUMIFS($D$6:$D$65,$B$6:$B$65,$F21)-SUMIFS($D$6:$D$65,$C$6:$C$65,$F21,$B$6:$B$65,"Interés")+SUMIFS($D$6:$D$65,$B$6:$B$65,$F21,$C$6:$C$65,"Interés")),"")</f>
      </c>
      <c r="I21" s="19"/>
      <c r="J21" s="16">
        <f>IFERROR(IF($F21="","",$K21-$H21),"")</f>
      </c>
      <c r="K21" s="16">
        <f>IFERROR(IF($F21="","",IF($H21=0,"",IF($I21="",$H21,$H21*(1+$I21)))),"")</f>
      </c>
    </row>
    <row r="22" spans="1:11" x14ac:dyDescent="0.25">
      <c r="A22" s="9">
        <v>46317</v>
      </c>
      <c r="B22" s="10"/>
      <c r="C22" s="10"/>
      <c r="D22" s="11"/>
      <c r="F22" s="22"/>
      <c r="G22" s="23"/>
      <c r="H22" s="16">
        <f>IFERROR(IF($F22="","",SUMIFS($D$6:$D$65,$C$6:$C$65,$F22)-SUMIFS($D$6:$D$65,$B$6:$B$65,$F22)-SUMIFS($D$6:$D$65,$C$6:$C$65,$F22,$B$6:$B$65,"Interés")+SUMIFS($D$6:$D$65,$B$6:$B$65,$F22,$C$6:$C$65,"Interés")),"")</f>
      </c>
      <c r="I22" s="19"/>
      <c r="J22" s="16">
        <f>IFERROR(IF($F22="","",$K22-$H22),"")</f>
      </c>
      <c r="K22" s="16">
        <f>IFERROR(IF($F22="","",IF($H22=0,"",IF($I22="",$H22,$H22*(1+$I22)))),"")</f>
      </c>
    </row>
    <row r="23" spans="1:11" x14ac:dyDescent="0.25">
      <c r="A23" s="9">
        <v>46317</v>
      </c>
      <c r="B23" s="10"/>
      <c r="C23" s="10"/>
      <c r="D23" s="11"/>
      <c r="F23" s="22"/>
      <c r="G23" s="23"/>
      <c r="H23" s="16">
        <f>IFERROR(IF($F23="","",SUMIFS($D$6:$D$65,$C$6:$C$65,$F23)-SUMIFS($D$6:$D$65,$B$6:$B$65,$F23)-SUMIFS($D$6:$D$65,$C$6:$C$65,$F23,$B$6:$B$65,"Interés")+SUMIFS($D$6:$D$65,$B$6:$B$65,$F23,$C$6:$C$65,"Interés")),"")</f>
      </c>
      <c r="I23" s="19"/>
      <c r="J23" s="16">
        <f>IFERROR(IF($F23="","",$K23-$H23),"")</f>
      </c>
      <c r="K23" s="16">
        <f>IFERROR(IF($F23="","",IF($H23=0,"",IF($I23="",$H23,$H23*(1+$I23)))),"")</f>
      </c>
    </row>
    <row r="24" spans="1:4" x14ac:dyDescent="0.25">
      <c r="A24" s="9">
        <v>46317</v>
      </c>
      <c r="B24" s="10"/>
      <c r="C24" s="10"/>
      <c r="D24" s="11"/>
    </row>
    <row r="25" spans="1:11" x14ac:dyDescent="0.25">
      <c r="A25" s="9">
        <v>46317</v>
      </c>
      <c r="B25" s="10"/>
      <c r="C25" s="10"/>
      <c r="D25" s="11"/>
      <c r="F25" s="24" t="s">
        <v>32</v>
      </c>
      <c r="G25" s="25"/>
      <c r="H25" s="26">
        <f>IFERROR(IF(SUM($H$8:$H$13)=0,"",SUM($H$8:$H$13)),"")</f>
      </c>
      <c r="I25" s="27">
        <f>IFERROR(IF($H25=0,"",$J25/$H25),"")</f>
      </c>
      <c r="J25" s="26">
        <f>IFERROR(IF(SUM($J$8:$J$13)=0,"",SUM($J$8:$J$13)),"")</f>
      </c>
      <c r="K25" s="26">
        <f>IFERROR(IF(SUM($K$8:$K$13)=0,"",SUM($K$8:$K$13)),"")</f>
      </c>
    </row>
    <row r="26" spans="1:11" x14ac:dyDescent="0.25">
      <c r="A26" s="9">
        <v>46317</v>
      </c>
      <c r="B26" s="10"/>
      <c r="C26" s="10"/>
      <c r="D26" s="11"/>
      <c r="F26" s="24" t="s">
        <v>33</v>
      </c>
      <c r="G26" s="28" t="s">
        <v>21</v>
      </c>
      <c r="H26" s="26">
        <f>IFERROR(IF(SUMIFS($H$6:$H$23,$G$6:$G$23,"Marta")=0,"",SUMIFS($H$6:$H$23,$G$6:$G$23,"Marta")),"")</f>
      </c>
      <c r="I26" s="27">
        <f>IFERROR(IF($H26=0,"",$J26/$H26),"")</f>
      </c>
      <c r="J26" s="26">
        <f>IFERROR(IF(SUMIFS($J$6:$J$23,$G$6:$G$23,"Marta")=0,"",SUMIFS($J$6:$J$23,$G$6:$G$23,"Marta")),"")</f>
      </c>
      <c r="K26" s="26">
        <f>IFERROR(IF(SUMIFS($K$6:$K$23,$G$6:$G$23,"Marta")=0,"",SUMIFS($K$6:$K$23,$G$6:$G$23,"Marta")),"")</f>
      </c>
    </row>
    <row r="27" spans="1:11" x14ac:dyDescent="0.25">
      <c r="A27" s="9">
        <v>46317</v>
      </c>
      <c r="B27" s="10"/>
      <c r="C27" s="10"/>
      <c r="D27" s="11"/>
      <c r="F27" s="24" t="s">
        <v>34</v>
      </c>
      <c r="G27" s="28" t="s">
        <v>30</v>
      </c>
      <c r="H27" s="26">
        <f>IFERROR(IF(SUMIFS($H$6:$H$23,$G$6:$G$23,"Fondo ahorro")=0,"",SUMIFS($H$6:$H$23,$G$6:$G$23,"Fondo ahorro")),"")</f>
      </c>
      <c r="I27" s="27">
        <f>IFERROR(IF($H27=0,"",$J27/$H27),"")</f>
      </c>
      <c r="J27" s="26">
        <f>IFERROR(IF(SUMIFS($J$6:$J$23,$G$6:$G$23,"Fondo ahorro")=0,"",SUMIFS($J$6:$J$23,$G$6:$G$23,"Fondo ahorro")),"")</f>
      </c>
      <c r="K27" s="26">
        <f>IFERROR(IF(SUMIFS($K$6:$K$23,$G$6:$G$23,"Fondo ahorro")=0,"",SUMIFS($K$6:$K$23,$G$6:$G$23,"Fondo ahorro")),"")</f>
      </c>
    </row>
    <row r="28" ht="18" customHeight="1" spans="1:11" x14ac:dyDescent="0.25">
      <c r="A28" s="9">
        <v>46317</v>
      </c>
      <c r="B28" s="10"/>
      <c r="C28" s="10"/>
      <c r="D28" s="11"/>
      <c r="F28" s="29" t="s">
        <v>35</v>
      </c>
      <c r="G28" s="29"/>
      <c r="H28" s="30">
        <f>IFERROR(IF(SUM($H$6:$H$23)=0,"",SUM($H$6:$H$23)),"")</f>
      </c>
      <c r="I28" s="31">
        <f>IFERROR(IF($H28=0,"",$J28/$H28),"")</f>
      </c>
      <c r="J28" s="30">
        <f>IFERROR(IF(SUM($J$6:$J$23)=0,"",SUM($J$6:$J$23)),"")</f>
      </c>
      <c r="K28" s="30">
        <f>IFERROR(IF(SUM($K$6:$K$23)=0,"",SUM($K$6:$K$23)),"")</f>
      </c>
    </row>
    <row r="29" spans="1:4" x14ac:dyDescent="0.25">
      <c r="A29" s="9">
        <v>46317</v>
      </c>
      <c r="B29" s="10"/>
      <c r="C29" s="10"/>
      <c r="D29" s="11"/>
    </row>
    <row r="30" spans="1:11" x14ac:dyDescent="0.25">
      <c r="A30" s="32" t="s">
        <v>36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</row>
    <row r="31" spans="1:11" x14ac:dyDescent="0.25">
      <c r="A31" s="32" t="s">
        <v>37</v>
      </c>
      <c r="B31" s="32"/>
      <c r="C31" s="32"/>
      <c r="D31" s="32"/>
      <c r="E31" s="32"/>
      <c r="F31" s="32"/>
      <c r="G31" s="32"/>
      <c r="H31" s="32"/>
      <c r="I31" s="32"/>
      <c r="J31" s="32"/>
      <c r="K31" s="32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</sheetData>
  <mergeCells count="8">
    <mergeCell ref="A1:K1"/>
    <mergeCell ref="A2:D3"/>
    <mergeCell ref="H2:I2"/>
    <mergeCell ref="F3:K3"/>
    <mergeCell ref="A4:D4"/>
    <mergeCell ref="F4:K4"/>
    <mergeCell ref="A30:K30"/>
    <mergeCell ref="A31:K31"/>
  </mergeCells>
  <conditionalFormatting sqref="A6:D65">
    <cfRule type="expression" dxfId="0" priority="1">
      <formula>AND($D5&lt;&gt;"",$D6="")</formula>
    </cfRule>
    <cfRule type="expression" dxfId="1" priority="2">
      <formula>$D5&lt;&gt;""</formula>
    </cfRule>
    <cfRule type="expression" dxfId="2" priority="3">
      <formula>$D5=""</formula>
    </cfRule>
  </conditionalFormatting>
  <conditionalFormatting sqref="F9:F23">
    <cfRule type="expression" dxfId="3" priority="6">
      <formula>AND($F9&lt;&gt;"",$G9="Marta")</formula>
    </cfRule>
    <cfRule type="expression" dxfId="4" priority="7">
      <formula>AND($F9&lt;&gt;"",$G9="Fondo ahorro")</formula>
    </cfRule>
  </conditionalFormatting>
  <conditionalFormatting sqref="I6:J23">
    <cfRule type="cellIs" dxfId="5" priority="4" operator="greaterThan">
      <formula>0</formula>
    </cfRule>
    <cfRule type="cellIs" dxfId="6" priority="5" operator="lessThan">
      <formula>0</formula>
    </cfRule>
  </conditionalFormatting>
  <dataValidations count="3">
    <dataValidation type="list" allowBlank="1" sqref="B6:B65">
      <formula1>ListaNombres</formula1>
    </dataValidation>
    <dataValidation type="list" allowBlank="1" sqref="C6:C65">
      <formula1>ListaNombres</formula1>
    </dataValidation>
    <dataValidation type="decimal" operator="greaterThan" allowBlank="1" sqref="D6:D6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Movimientos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2026-10-22T14:59:28Z</dcterms:created>
  <dcterms:modified xsi:type="dcterms:W3CDTF">2026-10-22T14:59:28Z</dcterms:modified>
</cp:coreProperties>
</file>