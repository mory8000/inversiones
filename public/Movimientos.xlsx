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</sheets>
  <definedNames>
    <definedName name="ListaNombres">OFFSET('Movimientos'!$F$6,0,0,MAX(COUNTA('Movimientos'!$F$6:$F$19),1),1)</definedName>
    <definedName name="_xlnm.Print_Area" localSheetId="0">'Movimientos'!$A1:$O27</definedName>
    <definedName name="_xlnm.Print_Titles" localSheetId="0">'Movimientos'!$1:$5</definedName>
    <definedName name="_xlnm.Print_Area" localSheetId="1">'Gráficos'!$A1:$O25</definedName>
  </definedNames>
  <calcPr calcId="171027" fullCalcOnLoad="1"/>
</workbook>
</file>

<file path=xl/sharedStrings.xml><?xml version="1.0" encoding="utf-8"?>
<sst xmlns="http://schemas.openxmlformats.org/spreadsheetml/2006/main" count="62" uniqueCount="37">
  <si>
    <t>Myinvestor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</si>
  <si>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</si>
  <si>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</si>
  <si>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</si>
  <si>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</si>
  <si>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</si>
  <si>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</si>
  <si>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</si>
  <si>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</si>
  <si>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</si>
  <si>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</si>
  <si>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</si>
  <si>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</si>
  <si>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</si>
  <si>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</si>
  <si>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</si>
  <si>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</si>
  <si>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</si>
  <si>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</si>
  <si>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Luis</t>
  </si>
  <si>
    <t>Fondo indexado</t>
  </si>
  <si>
    <t>Luis</t>
  </si>
  <si>
    <t>Vanguard Global Stock Index</t>
  </si>
  <si>
    <t>Fidelity MSCI World Index</t>
  </si>
  <si>
    <t>Cartera indexada Metal</t>
  </si>
  <si>
    <t>Fondo ahorro</t>
  </si>
  <si>
    <t>iShares Developed World Index</t>
  </si>
  <si>
    <t>Total Cuenta Luis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</si>
  <si>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</si>
  <si>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</si>
  <si>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</si>
  <si>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Al poner 0 en un .xlsx no se borra solo. Para eliminarlo, borra De, A e Importe y pon Fecha a hoy. Si quieres que lo haga automáticamente SOLO al cambiar de positivo a 0, sigue las instrucciones de la macro opcional en README.md.</t>
  </si>
  <si>
    <t>Gráficos</t>
  </si>
  <si>
    <t>Todo sale de la hoja «Movimientos»: lo que cambies allí, cambia aquí.</t>
  </si>
  <si>
    <t>■ Aportado</t>
  </si>
  <si>
    <t>■ Rentabilidad</t>
  </si>
  <si>
    <t>■ Aportado + rentabilidad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</si>
</sst>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0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2563EB"/>
      <sz val="10"/>
    </font>
    <font>
      <b/>
      <color rgb="FFE67E22"/>
      <sz val="10"/>
    </font>
    <font>
      <b/>
      <color rgb="FF0F766E"/>
      <sz val="10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 applyProtection="1">
      <protection locked="0"/>
    </xf>
    <xf numFmtId="0" fontId="8" fillId="0" borderId="1" xfId="0" applyFont="1" applyBorder="1" applyAlignment="1">
      <alignment indent="1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5" fontId="12" fillId="0" borderId="1" xfId="0" applyNumberFormat="1" applyFont="1" applyBorder="1"/>
    <xf numFmtId="166" fontId="12" fillId="0" borderId="1" xfId="0" applyNumberFormat="1" applyFont="1" applyBorder="1" applyProtection="1">
      <protection locked="0"/>
    </xf>
    <xf numFmtId="0" fontId="13" fillId="0" borderId="0" xfId="0" applyFont="1" applyAlignment="1" applyProtection="1">
      <alignment indent="1"/>
      <protection locked="0"/>
    </xf>
    <xf numFmtId="0" fontId="14" fillId="0" borderId="0" xfId="0" applyFont="1" applyAlignment="1" applyProtection="1">
      <alignment horizontal="center"/>
      <protection locked="0"/>
    </xf>
    <xf numFmtId="165" fontId="13" fillId="0" borderId="0" xfId="0" applyNumberFormat="1" applyFont="1"/>
    <xf numFmtId="166" fontId="13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</cellXfs>
  <cellStyles count="1">
    <cellStyle name="Normal" xfId="0" builtinId="0"/>
  </cellStyles>
  <dxfs count="14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Luis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7"/>
          <c:y val="0.14"/>
          <c:w val="0.86"/>
          <c:h val="0.75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Movimientos!$H$21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Movimientos!$J$21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Movimientos!$K$21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one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7"/>
          <c:y val="0.14"/>
          <c:w val="0.86"/>
          <c:h val="0.75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Movimientos!$H$22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Movimientos!$J$22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Movimientos!$K$22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one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3</xdr:row>
      <xdr:rowOff>0</xdr:rowOff>
    </xdr:from>
    <xdr:to>
      <xdr:col>4</xdr:col>
      <xdr:colOff>628650</xdr:colOff>
      <xdr:row>18</xdr:row>
      <xdr:rowOff>152400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209550</xdr:colOff>
      <xdr:row>3</xdr:row>
      <xdr:rowOff>0</xdr:rowOff>
    </xdr:from>
    <xdr:to>
      <xdr:col>12</xdr:col>
      <xdr:colOff>628650</xdr:colOff>
      <xdr:row>18</xdr:row>
      <xdr:rowOff>152400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46297</v>
      </c>
      <c r="B7" s="10" t="s">
        <v>19</v>
      </c>
      <c r="C7" s="10" t="s">
        <v>20</v>
      </c>
      <c r="D7" s="11">
        <v>400</v>
      </c>
      <c r="F7" s="14" t="s">
        <v>19</v>
      </c>
      <c r="G7" s="15" t="s">
        <v>21</v>
      </c>
      <c r="H7" s="16">
        <f>IFERROR(IF($F7="","",IF(AND(COUNTIFS($C$6:$C$505,"Cuenta Luis",$D$6:$D$505,"&gt;0")+COUNTIFS($B$6:$B$505,"Cuenta Luis",$D$6:$D$505,"&gt;0")&gt;0,SUMIFS($D$6:$D$505,$C$6:$C$505,"Cuenta Luis")-SUMIFS($D$6:$D$505,$B$6:$B$505,"Cuenta Luis")&lt;=0,SUMPRODUCT(--($H8:$H10&lt;&gt;""))=0),"",SUMIFS($D$6:$D$505,$C$6:$C$505,"Cuenta Luis")-SUMIFS($D$6:$D$505,$B$6:$B$505,"Cuenta Luis"))),"")</f>
      </c>
      <c r="I7" s="17"/>
      <c r="J7" s="16">
        <f>IFERROR(IF($F7="","",IF(AND(COUNTIFS($C$6:$C$505,"Cuenta Luis",$D$6:$D$505,"&gt;0")+COUNTIFS($B$6:$B$505,"Cuenta Luis",$D$6:$D$505,"&gt;0")&gt;0,SUMIFS($D$6:$D$505,$C$6:$C$505,"Cuenta Luis")-SUMIFS($D$6:$D$505,$B$6:$B$505,"Cuenta Luis")&lt;=0,SUMPRODUCT(--($H8:$H10&lt;&gt;""))=0),"",IF(OR($H7="",$K7=""),"",$K7-$H7))),"")</f>
      </c>
      <c r="K7" s="16">
        <f>IFERROR(IF($F7="","",IF(AND(COUNTIFS($C$6:$C$505,"Cuenta Luis",$D$6:$D$505,"&gt;0")+COUNTIFS($B$6:$B$505,"Cuenta Luis",$D$6:$D$505,"&gt;0")&gt;0,SUMIFS($D$6:$D$505,$C$6:$C$505,"Cuenta Luis")-SUMIFS($D$6:$D$505,$B$6:$B$505,"Cuenta Luis")&lt;=0,SUMPRODUCT(--($H8:$H10&lt;&gt;""))=0),"",IF(OR($H7="",$H7=0),"",IF($I7="",$H7,$H7*(1+$I7))))),"")</f>
      </c>
    </row>
    <row r="8" spans="1:11" x14ac:dyDescent="0.25">
      <c r="A8" s="9">
        <v>46298</v>
      </c>
      <c r="B8" s="10" t="s">
        <v>18</v>
      </c>
      <c r="C8" s="10" t="s">
        <v>19</v>
      </c>
      <c r="D8" s="11">
        <v>620</v>
      </c>
      <c r="F8" s="18" t="s">
        <v>22</v>
      </c>
      <c r="G8" s="15" t="s">
        <v>21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7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</row>
    <row r="9" spans="1:11" x14ac:dyDescent="0.25">
      <c r="A9" s="9">
        <v>46299</v>
      </c>
      <c r="B9" s="10" t="s">
        <v>19</v>
      </c>
      <c r="C9" s="10" t="s">
        <v>22</v>
      </c>
      <c r="D9" s="11">
        <v>300</v>
      </c>
      <c r="F9" s="19" t="s">
        <v>23</v>
      </c>
      <c r="G9" s="15" t="s">
        <v>21</v>
      </c>
      <c r="H9" s="20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1"/>
      <c r="J9" s="20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0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</row>
    <row r="10" spans="1:11" x14ac:dyDescent="0.25">
      <c r="A10" s="9">
        <v>46300</v>
      </c>
      <c r="B10" s="10" t="s">
        <v>19</v>
      </c>
      <c r="C10" s="10" t="s">
        <v>23</v>
      </c>
      <c r="D10" s="11">
        <v>200</v>
      </c>
      <c r="F10" s="19" t="s">
        <v>24</v>
      </c>
      <c r="G10" s="15" t="s">
        <v>21</v>
      </c>
      <c r="H10" s="20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1"/>
      <c r="J10" s="20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0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</row>
    <row r="11" spans="1:11" x14ac:dyDescent="0.25">
      <c r="A11" s="9">
        <v>46301</v>
      </c>
      <c r="B11" s="10" t="s">
        <v>19</v>
      </c>
      <c r="C11" s="10" t="s">
        <v>24</v>
      </c>
      <c r="D11" s="11">
        <v>120</v>
      </c>
      <c r="F11" s="22" t="s">
        <v>20</v>
      </c>
      <c r="G11" s="15" t="s">
        <v>25</v>
      </c>
      <c r="H11" s="23">
        <f>IFERROR(IF($F11="","",IF(AND(SUMIFS($D$6:$D$505,$C$6:$C$505,"Fondo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1" s="24"/>
      <c r="J11" s="23">
        <f>IFERROR(IF($F11="","",IF(AND(SUMIFS($D$6:$D$505,$C$6:$C$505,"Fondo indexado")&gt;0,SUMIFS($D$6:$D$505,$C$6:$C$505,"Fondo indexado")-SUMIFS($D$6:$D$505,$B$6:$B$505,"Fondo indexado")&lt;=0),"",IF(OR($H11="",$K11=""),"",$K11-$H11))),"")</f>
      </c>
      <c r="K11" s="23">
        <f>IFERROR(IF($F11="","",IF(AND(SUMIFS($D$6:$D$505,$C$6:$C$505,"Fondo indexado")&gt;0,SUMIFS($D$6:$D$505,$C$6:$C$505,"Fondo indexado")-SUMIFS($D$6:$D$505,$B$6:$B$505,"Fondo indexado")&lt;=0),"",IF(OR($H11="",$H11=0),"",IF($I11="",$H11,$H11*(1+$I11))))),"")</f>
      </c>
    </row>
    <row r="12" spans="1:11" x14ac:dyDescent="0.25">
      <c r="A12" s="9">
        <v>46302</v>
      </c>
      <c r="B12" s="10" t="s">
        <v>18</v>
      </c>
      <c r="C12" s="10" t="s">
        <v>26</v>
      </c>
      <c r="D12" s="11">
        <v>150</v>
      </c>
      <c r="F12" s="22" t="s">
        <v>26</v>
      </c>
      <c r="G12" s="15" t="s">
        <v>25</v>
      </c>
      <c r="H12" s="23">
        <f>IFERROR(IF($F12="","",IF(AND(SUMIFS($D$6:$D$505,$C$6:$C$505,"iShares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2" s="24"/>
      <c r="J12" s="23">
        <f>IFERROR(IF($F12="","",IF(AND(SUMIFS($D$6:$D$505,$C$6:$C$505,"iShares Developed World Index")&gt;0,SUMIFS($D$6:$D$505,$C$6:$C$505,"iShares Developed World Index")-SUMIFS($D$6:$D$505,$B$6:$B$505,"iShares Developed World Index")&lt;=0),"",IF(OR($H12="",$K12=""),"",$K12-$H12))),"")</f>
      </c>
      <c r="K12" s="23">
        <f>IFERROR(IF($F12="","",IF(AND(SUMIFS($D$6:$D$505,$C$6:$C$505,"iShares Developed World Index")&gt;0,SUMIFS($D$6:$D$505,$C$6:$C$505,"iShares Developed World Index")-SUMIFS($D$6:$D$505,$B$6:$B$505,"iShares Developed World Index")&lt;=0),"",IF(OR($H12="",$H12=0),"",IF($I12="",$H12,$H12*(1+$I12))))),"")</f>
      </c>
    </row>
    <row r="13" spans="1:11" x14ac:dyDescent="0.25">
      <c r="A13" s="9">
        <v>46317</v>
      </c>
      <c r="B13" s="10"/>
      <c r="C13" s="10"/>
      <c r="D13" s="11"/>
      <c r="F13" s="25"/>
      <c r="G13" s="26"/>
      <c r="H13" s="27">
        <f>IFERROR(IF($F13="","",IF(AND(SUMIFS($D$6:$D$505,$C$6:$C$505,$F13)&gt;0,SUMIFS($D$6:$D$505,$C$6:$C$505,$F13)-SUMIFS($D$6:$D$505,$B$6:$B$505,$F13)&lt;=0),"",SUMIFS($D$6:$D$505,$C$6:$C$505,$F13)-SUMIFS($D$6:$D$505,$B$6:$B$505,$F13))),"")</f>
      </c>
      <c r="I13" s="28"/>
      <c r="J13" s="27">
        <f>IFERROR(IF($F13="","",IF(AND(SUMIFS($D$6:$D$505,$C$6:$C$505,$F13)&gt;0,SUMIFS($D$6:$D$505,$C$6:$C$505,$F13)-SUMIFS($D$6:$D$505,$B$6:$B$505,$F13)&lt;=0),"",IF(OR($H13="",$K13=""),"",$K13-$H13))),"")</f>
      </c>
      <c r="K13" s="27">
        <f>IFERROR(IF($F13="","",IF(AND(SUMIFS($D$6:$D$505,$C$6:$C$505,$F13)&gt;0,SUMIFS($D$6:$D$505,$C$6:$C$505,$F13)-SUMIFS($D$6:$D$505,$B$6:$B$505,$F13)&lt;=0),"",IF(OR($H13="",$H13=0),"",IF($I13="",$H13,$H13*(1+$I13))))),"")</f>
      </c>
    </row>
    <row r="14" spans="1:11" x14ac:dyDescent="0.25">
      <c r="A14" s="9">
        <v>46317</v>
      </c>
      <c r="B14" s="10"/>
      <c r="C14" s="10"/>
      <c r="D14" s="11"/>
      <c r="F14" s="25"/>
      <c r="G14" s="26"/>
      <c r="H14" s="27">
        <f>IFERROR(IF($F14="","",IF(AND(SUMIFS($D$6:$D$505,$C$6:$C$505,$F14)&gt;0,SUMIFS($D$6:$D$505,$C$6:$C$505,$F14)-SUMIFS($D$6:$D$505,$B$6:$B$505,$F14)&lt;=0),"",SUMIFS($D$6:$D$505,$C$6:$C$505,$F14)-SUMIFS($D$6:$D$505,$B$6:$B$505,$F14))),"")</f>
      </c>
      <c r="I14" s="28"/>
      <c r="J14" s="27">
        <f>IFERROR(IF($F14="","",IF(AND(SUMIFS($D$6:$D$505,$C$6:$C$505,$F14)&gt;0,SUMIFS($D$6:$D$505,$C$6:$C$505,$F14)-SUMIFS($D$6:$D$505,$B$6:$B$505,$F14)&lt;=0),"",IF(OR($H14="",$K14=""),"",$K14-$H14))),"")</f>
      </c>
      <c r="K14" s="27">
        <f>IFERROR(IF($F14="","",IF(AND(SUMIFS($D$6:$D$505,$C$6:$C$505,$F14)&gt;0,SUMIFS($D$6:$D$505,$C$6:$C$505,$F14)-SUMIFS($D$6:$D$505,$B$6:$B$505,$F14)&lt;=0),"",IF(OR($H14="",$H14=0),"",IF($I14="",$H14,$H14*(1+$I14))))),"")</f>
      </c>
    </row>
    <row r="15" spans="1:11" x14ac:dyDescent="0.25">
      <c r="A15" s="9">
        <v>46317</v>
      </c>
      <c r="B15" s="10"/>
      <c r="C15" s="10"/>
      <c r="D15" s="11"/>
      <c r="F15" s="25"/>
      <c r="G15" s="26"/>
      <c r="H15" s="27">
        <f>IFERROR(IF($F15="","",IF(AND(SUMIFS($D$6:$D$505,$C$6:$C$505,$F15)&gt;0,SUMIFS($D$6:$D$505,$C$6:$C$505,$F15)-SUMIFS($D$6:$D$505,$B$6:$B$505,$F15)&lt;=0),"",SUMIFS($D$6:$D$505,$C$6:$C$505,$F15)-SUMIFS($D$6:$D$505,$B$6:$B$505,$F15))),"")</f>
      </c>
      <c r="I15" s="28"/>
      <c r="J15" s="27">
        <f>IFERROR(IF($F15="","",IF(AND(SUMIFS($D$6:$D$505,$C$6:$C$505,$F15)&gt;0,SUMIFS($D$6:$D$505,$C$6:$C$505,$F15)-SUMIFS($D$6:$D$505,$B$6:$B$505,$F15)&lt;=0),"",IF(OR($H15="",$K15=""),"",$K15-$H15))),"")</f>
      </c>
      <c r="K15" s="27">
        <f>IFERROR(IF($F15="","",IF(AND(SUMIFS($D$6:$D$505,$C$6:$C$505,$F15)&gt;0,SUMIFS($D$6:$D$505,$C$6:$C$505,$F15)-SUMIFS($D$6:$D$505,$B$6:$B$505,$F15)&lt;=0),"",IF(OR($H15="",$H15=0),"",IF($I15="",$H15,$H15*(1+$I15))))),"")</f>
      </c>
    </row>
    <row r="16" spans="1:11" x14ac:dyDescent="0.25">
      <c r="A16" s="9">
        <v>46317</v>
      </c>
      <c r="B16" s="10"/>
      <c r="C16" s="10"/>
      <c r="D16" s="11"/>
      <c r="F16" s="25"/>
      <c r="G16" s="26"/>
      <c r="H16" s="27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28"/>
      <c r="J16" s="27">
        <f>IFERROR(IF($F16="","",IF(AND(SUMIFS($D$6:$D$505,$C$6:$C$505,$F16)&gt;0,SUMIFS($D$6:$D$505,$C$6:$C$505,$F16)-SUMIFS($D$6:$D$505,$B$6:$B$505,$F16)&lt;=0),"",IF(OR($H16="",$K16=""),"",$K16-$H16))),"")</f>
      </c>
      <c r="K16" s="27">
        <f>IFERROR(IF($F16="","",IF(AND(SUMIFS($D$6:$D$505,$C$6:$C$505,$F16)&gt;0,SUMIFS($D$6:$D$505,$C$6:$C$505,$F16)-SUMIFS($D$6:$D$505,$B$6:$B$505,$F16)&lt;=0),"",IF(OR($H16="",$H16=0),"",IF($I16="",$H16,$H16*(1+$I16))))),"")</f>
      </c>
    </row>
    <row r="17" spans="1:11" x14ac:dyDescent="0.25">
      <c r="A17" s="9">
        <v>46317</v>
      </c>
      <c r="B17" s="10"/>
      <c r="C17" s="10"/>
      <c r="D17" s="11"/>
      <c r="F17" s="25"/>
      <c r="G17" s="26"/>
      <c r="H17" s="27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28"/>
      <c r="J17" s="27">
        <f>IFERROR(IF($F17="","",IF(AND(SUMIFS($D$6:$D$505,$C$6:$C$505,$F17)&gt;0,SUMIFS($D$6:$D$505,$C$6:$C$505,$F17)-SUMIFS($D$6:$D$505,$B$6:$B$505,$F17)&lt;=0),"",IF(OR($H17="",$K17=""),"",$K17-$H17))),"")</f>
      </c>
      <c r="K17" s="27">
        <f>IFERROR(IF($F17="","",IF(AND(SUMIFS($D$6:$D$505,$C$6:$C$505,$F17)&gt;0,SUMIFS($D$6:$D$505,$C$6:$C$505,$F17)-SUMIFS($D$6:$D$505,$B$6:$B$505,$F17)&lt;=0),"",IF(OR($H17="",$H17=0),"",IF($I17="",$H17,$H17*(1+$I17))))),"")</f>
      </c>
    </row>
    <row r="18" spans="1:11" x14ac:dyDescent="0.25">
      <c r="A18" s="9">
        <v>46317</v>
      </c>
      <c r="B18" s="10"/>
      <c r="C18" s="10"/>
      <c r="D18" s="11"/>
      <c r="F18" s="25"/>
      <c r="G18" s="26"/>
      <c r="H18" s="27">
        <f>IFERROR(IF($F18="","",IF(AND(SUMIFS($D$6:$D$505,$C$6:$C$505,$F18)&gt;0,SUMIFS($D$6:$D$505,$C$6:$C$505,$F18)-SUMIFS($D$6:$D$505,$B$6:$B$505,$F18)&lt;=0),"",SUMIFS($D$6:$D$505,$C$6:$C$505,$F18)-SUMIFS($D$6:$D$505,$B$6:$B$505,$F18))),"")</f>
      </c>
      <c r="I18" s="28"/>
      <c r="J18" s="27">
        <f>IFERROR(IF($F18="","",IF(AND(SUMIFS($D$6:$D$505,$C$6:$C$505,$F18)&gt;0,SUMIFS($D$6:$D$505,$C$6:$C$505,$F18)-SUMIFS($D$6:$D$505,$B$6:$B$505,$F18)&lt;=0),"",IF(OR($H18="",$K18=""),"",$K18-$H18))),"")</f>
      </c>
      <c r="K18" s="27">
        <f>IFERROR(IF($F18="","",IF(AND(SUMIFS($D$6:$D$505,$C$6:$C$505,$F18)&gt;0,SUMIFS($D$6:$D$505,$C$6:$C$505,$F18)-SUMIFS($D$6:$D$505,$B$6:$B$505,$F18)&lt;=0),"",IF(OR($H18="",$H18=0),"",IF($I18="",$H18,$H18*(1+$I18))))),"")</f>
      </c>
    </row>
    <row r="19" spans="1:11" x14ac:dyDescent="0.25">
      <c r="A19" s="9">
        <v>46317</v>
      </c>
      <c r="B19" s="10"/>
      <c r="C19" s="10"/>
      <c r="D19" s="11"/>
      <c r="F19" s="25"/>
      <c r="G19" s="26"/>
      <c r="H19" s="27">
        <f>IFERROR(IF($F19="","",IF(AND(SUMIFS($D$6:$D$505,$C$6:$C$505,$F19)&gt;0,SUMIFS($D$6:$D$505,$C$6:$C$505,$F19)-SUMIFS($D$6:$D$505,$B$6:$B$505,$F19)&lt;=0),"",SUMIFS($D$6:$D$505,$C$6:$C$505,$F19)-SUMIFS($D$6:$D$505,$B$6:$B$505,$F19))),"")</f>
      </c>
      <c r="I19" s="28"/>
      <c r="J19" s="27">
        <f>IFERROR(IF($F19="","",IF(AND(SUMIFS($D$6:$D$505,$C$6:$C$505,$F19)&gt;0,SUMIFS($D$6:$D$505,$C$6:$C$505,$F19)-SUMIFS($D$6:$D$505,$B$6:$B$505,$F19)&lt;=0),"",IF(OR($H19="",$K19=""),"",$K19-$H19))),"")</f>
      </c>
      <c r="K19" s="27">
        <f>IFERROR(IF($F19="","",IF(AND(SUMIFS($D$6:$D$505,$C$6:$C$505,$F19)&gt;0,SUMIFS($D$6:$D$505,$C$6:$C$505,$F19)-SUMIFS($D$6:$D$505,$B$6:$B$505,$F19)&lt;=0),"",IF(OR($H19="",$H19=0),"",IF($I19="",$H19,$H19*(1+$I19))))),"")</f>
      </c>
    </row>
    <row r="20" spans="1:4" x14ac:dyDescent="0.25">
      <c r="A20" s="9">
        <v>46317</v>
      </c>
      <c r="B20" s="10"/>
      <c r="C20" s="10"/>
      <c r="D20" s="11"/>
    </row>
    <row r="21" spans="1:11" x14ac:dyDescent="0.25">
      <c r="A21" s="9">
        <v>46317</v>
      </c>
      <c r="B21" s="10"/>
      <c r="C21" s="10"/>
      <c r="D21" s="11"/>
      <c r="F21" s="29" t="s">
        <v>27</v>
      </c>
      <c r="G21" s="30" t="s">
        <v>21</v>
      </c>
      <c r="H21" s="31">
        <f>IFERROR(IF(SUMIFS($H$6:$H$19,$G$6:$G$19,"Luis")=0,"",SUMIFS($H$6:$H$19,$G$6:$G$19,"Luis")),"")</f>
      </c>
      <c r="I21" s="32">
        <f>IFERROR(IF($H21=0,"",$J21/$H21),"")</f>
      </c>
      <c r="J21" s="31">
        <f>IFERROR(IF(SUMIFS($J$6:$J$19,$G$6:$G$19,"Luis")=0,"",SUMIFS($J$6:$J$19,$G$6:$G$19,"Luis")),"")</f>
      </c>
      <c r="K21" s="31">
        <f>IFERROR(IF(SUMIFS($K$6:$K$19,$G$6:$G$19,"Luis")=0,"",SUMIFS($K$6:$K$19,$G$6:$G$19,"Luis")),"")</f>
      </c>
    </row>
    <row r="22" spans="1:11" x14ac:dyDescent="0.25">
      <c r="A22" s="9">
        <v>46317</v>
      </c>
      <c r="B22" s="10"/>
      <c r="C22" s="10"/>
      <c r="D22" s="11"/>
      <c r="F22" s="29" t="s">
        <v>28</v>
      </c>
      <c r="G22" s="30" t="s">
        <v>25</v>
      </c>
      <c r="H22" s="31">
        <f>IFERROR(IF(SUMIFS($H$6:$H$19,$G$6:$G$19,"Fondo ahorro")=0,"",SUMIFS($H$6:$H$19,$G$6:$G$19,"Fondo ahorro")),"")</f>
      </c>
      <c r="I22" s="32">
        <f>IFERROR(IF($H22=0,"",$J22/$H22),"")</f>
      </c>
      <c r="J22" s="31">
        <f>IFERROR(IF(SUMIFS($J$6:$J$19,$G$6:$G$19,"Fondo ahorro")=0,"",SUMIFS($J$6:$J$19,$G$6:$G$19,"Fondo ahorro")),"")</f>
      </c>
      <c r="K22" s="31">
        <f>IFERROR(IF(SUMIFS($K$6:$K$19,$G$6:$G$19,"Fondo ahorro")=0,"",SUMIFS($K$6:$K$19,$G$6:$G$19,"Fondo ahorro")),"")</f>
      </c>
    </row>
    <row r="23" ht="18" customHeight="1" spans="1:11" x14ac:dyDescent="0.25">
      <c r="A23" s="9">
        <v>46317</v>
      </c>
      <c r="B23" s="10"/>
      <c r="C23" s="10"/>
      <c r="D23" s="11"/>
      <c r="F23" s="33" t="s">
        <v>29</v>
      </c>
      <c r="G23" s="33"/>
      <c r="H23" s="34">
        <f>IFERROR(IF(SUM($H$6:$H$19)=0,"",SUM($H$6:$H$19)),"")</f>
      </c>
      <c r="I23" s="35">
        <f>IFERROR(IF($H23=0,"",$J23/$H23),"")</f>
      </c>
      <c r="J23" s="34">
        <f>IFERROR(IF(SUM($J$6:$J$19)=0,"",SUM($J$6:$J$19)),"")</f>
      </c>
      <c r="K23" s="34">
        <f>IFERROR(IF(SUM($K$6:$K$19)=0,"",SUM($K$6:$K$19)),"")</f>
      </c>
    </row>
    <row r="24" spans="1:4" x14ac:dyDescent="0.25">
      <c r="A24" s="9">
        <v>46317</v>
      </c>
      <c r="B24" s="10"/>
      <c r="C24" s="10"/>
      <c r="D24" s="11"/>
    </row>
    <row r="25" spans="1:11" x14ac:dyDescent="0.25">
      <c r="A25" s="36" t="s">
        <v>30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</row>
    <row r="26" spans="1:11" x14ac:dyDescent="0.25">
      <c r="A26" s="36" t="s">
        <v>31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spans="1:4" x14ac:dyDescent="0.25">
      <c r="A27" s="9">
        <v>46317</v>
      </c>
      <c r="B27" s="10"/>
      <c r="C27" s="10"/>
      <c r="D27" s="11"/>
    </row>
    <row r="28" spans="1:4" x14ac:dyDescent="0.25">
      <c r="A28" s="9">
        <v>46317</v>
      </c>
      <c r="B28" s="10"/>
      <c r="C28" s="10"/>
      <c r="D28" s="11"/>
    </row>
    <row r="29" spans="1:4" x14ac:dyDescent="0.25">
      <c r="A29" s="9">
        <v>46317</v>
      </c>
      <c r="B29" s="10"/>
      <c r="C29" s="10"/>
      <c r="D29" s="11"/>
    </row>
    <row r="30" spans="1:4" x14ac:dyDescent="0.25">
      <c r="A30" s="9">
        <v>46317</v>
      </c>
      <c r="B30" s="10"/>
      <c r="C30" s="10"/>
      <c r="D30" s="11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5:K25"/>
    <mergeCell ref="A26:K26"/>
  </mergeCells>
  <conditionalFormatting sqref="A6:D505">
    <cfRule type="expression" dxfId="0" priority="2">
      <formula>AND($D5&lt;&gt;"",$D6="")</formula>
    </cfRule>
    <cfRule type="expression" dxfId="1" priority="3">
      <formula>$D5&lt;&gt;""</formula>
    </cfRule>
    <cfRule type="expression" dxfId="2" priority="4">
      <formula>$D5=""</formula>
    </cfRule>
  </conditionalFormatting>
  <conditionalFormatting sqref="F13:K19">
    <cfRule type="expression" dxfId="3" priority="1">
      <formula>$F13&lt;&gt;""</formula>
    </cfRule>
    <cfRule type="expression" dxfId="4" priority="2">
      <formula>AND($F12&lt;&gt;"",$F13="")</formula>
    </cfRule>
    <cfRule type="expression" dxfId="5" priority="3">
      <formula>$F12=""</formula>
    </cfRule>
  </conditionalFormatting>
  <conditionalFormatting sqref="I7:I12">
    <cfRule type="expression" dxfId="6" priority="4">
      <formula>AND($F7&lt;&gt;"",$H7&lt;&gt;"")</formula>
    </cfRule>
  </conditionalFormatting>
  <conditionalFormatting sqref="I13:I19">
    <cfRule type="expression" dxfId="7" priority="4">
      <formula>$F13&lt;&gt;""</formula>
    </cfRule>
    <cfRule type="expression" dxfId="8" priority="5">
      <formula>AND($F12&lt;&gt;"",$F13="")</formula>
    </cfRule>
  </conditionalFormatting>
  <conditionalFormatting sqref="F7:K12">
    <cfRule type="expression" dxfId="9" priority="1">
      <formula>$H7=""</formula>
    </cfRule>
  </conditionalFormatting>
  <conditionalFormatting sqref="F9:F19">
    <cfRule type="expression" dxfId="10" priority="6">
      <formula>AND($F9&lt;&gt;"",$G9="Luis")</formula>
    </cfRule>
    <cfRule type="expression" dxfId="11" priority="7">
      <formula>AND($F9&lt;&gt;"",$G9="Fondo ahorro")</formula>
    </cfRule>
  </conditionalFormatting>
  <conditionalFormatting sqref="I6:J19">
    <cfRule type="cellIs" dxfId="12" priority="4" operator="greaterThan">
      <formula>0</formula>
    </cfRule>
    <cfRule type="cellIs" dxfId="13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custom" allowBlank="1" showErrorMessage="1" errorStyle="stop" errorTitle="No hay tanto dinero" error="En la cuenta o inversión de la que sale el dinero no queda tanto. Escribe un importe más pequeño o mete antes el dinero desde el Exterior." sqref="D6:D505">
      <formula1>OR($D6=0,AND($D6&gt;0,OR($B6="Exterior",$D6&lt;=MAX(0,(SUMIFS($D$6:$D6,$C$6:$C6,$B6)-SUMIFS($D$6:$D6,$B$6:$B6,$B6)+$D6)*(1+IFERROR(VLOOKUP($B6,$F$6:$I$19,4,FALSE),0))))))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25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37" t="s">
        <v>32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ht="20" customHeight="1" spans="1:15" x14ac:dyDescent="0.25">
      <c r="A2" s="5" t="s">
        <v>33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  <row r="18" ht="20" customHeight="1" x14ac:dyDescent="0.25"/>
    <row r="19" ht="20" customHeight="1" x14ac:dyDescent="0.25"/>
    <row r="20" ht="20" customHeight="1" spans="2:14" x14ac:dyDescent="0.25">
      <c r="B20" s="38" t="s">
        <v>34</v>
      </c>
      <c r="C20" s="38"/>
      <c r="D20" s="38"/>
      <c r="E20" s="38"/>
      <c r="F20" s="38"/>
      <c r="J20" s="38" t="s">
        <v>34</v>
      </c>
      <c r="K20" s="38"/>
      <c r="L20" s="38"/>
      <c r="M20" s="38"/>
      <c r="N20" s="38"/>
    </row>
    <row r="21" ht="20" customHeight="1" spans="2:14" x14ac:dyDescent="0.25">
      <c r="B21" s="39" t="s">
        <v>35</v>
      </c>
      <c r="C21" s="39"/>
      <c r="D21" s="39"/>
      <c r="E21" s="39"/>
      <c r="F21" s="39"/>
      <c r="J21" s="39" t="s">
        <v>35</v>
      </c>
      <c r="K21" s="39"/>
      <c r="L21" s="39"/>
      <c r="M21" s="39"/>
      <c r="N21" s="39"/>
    </row>
    <row r="22" ht="20" customHeight="1" spans="2:14" x14ac:dyDescent="0.25">
      <c r="B22" s="40" t="s">
        <v>36</v>
      </c>
      <c r="C22" s="40"/>
      <c r="D22" s="40"/>
      <c r="E22" s="40"/>
      <c r="F22" s="40"/>
      <c r="J22" s="40" t="s">
        <v>36</v>
      </c>
      <c r="K22" s="40"/>
      <c r="L22" s="40"/>
      <c r="M22" s="40"/>
      <c r="N22" s="40"/>
    </row>
    <row r="23" ht="20" customHeight="1" x14ac:dyDescent="0.25"/>
    <row r="24" ht="20" customHeight="1" x14ac:dyDescent="0.25"/>
    <row r="25" ht="20" customHeight="1" x14ac:dyDescent="0.25"/>
  </sheetData>
  <mergeCells count="8">
    <mergeCell ref="A1:O1"/>
    <mergeCell ref="A2:O2"/>
    <mergeCell ref="B20:F20"/>
    <mergeCell ref="J20:N20"/>
    <mergeCell ref="B21:F21"/>
    <mergeCell ref="J21:N21"/>
    <mergeCell ref="B22:F22"/>
    <mergeCell ref="J22:N2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Movimientos</vt:lpstr>
      <vt:lpstr>Gráficos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2026-10-23T06:07:33Z</dcterms:created>
  <dcterms:modified xsi:type="dcterms:W3CDTF">2026-10-23T06:07:33Z</dcterms:modified>
</cp:coreProperties>
</file>