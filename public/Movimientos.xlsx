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_xlnm.Print_Area" localSheetId="0">'Movimientos'!$A1:$K30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<sst xmlns="http://schemas.openxmlformats.org/spreadsheetml/2006/main" count="50" uniqueCount="38">
  <si>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</si>
  <si>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</si>
  <si>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</si>
  <si>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</si>
  <si>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</si>
  <si>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</si>
  <si>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</si>
  <si>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</si>
  <si>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</si>
  <si>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</si>
  <si>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</si>
  <si>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</si>
  <si>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</si>
  <si>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</si>
  <si>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Cuenta e inversiones</t>
  </si>
  <si>
    <t>Titular</t>
  </si>
  <si>
    <t>Rentab. %</t>
  </si>
  <si>
    <t>Rentab. €</t>
  </si>
  <si>
    <t>Exterior</t>
  </si>
  <si>
    <t>Interés</t>
  </si>
  <si>
    <t>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</si>
  <si>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</si>
  <si>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</si>
  <si>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</si>
  <si>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</si>
  <si>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</si>
  <si>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 global</t>
  </si>
  <si>
    <t>Cuenta nómina · BBVA</t>
  </si>
  <si>
    <t>Cuenta ahorro · ING</t>
  </si>
  <si>
    <t>Fondo indexado</t>
  </si>
  <si>
    <t>Fondo ahorro</t>
  </si>
  <si>
    <t>Depósito ahorro</t>
  </si>
  <si>
    <t>Total MyInvestor</t>
  </si>
  <si>
    <t>Total Marta</t>
  </si>
  <si>
    <t>Total Fondo ahorro</t>
  </si>
  <si>
    <t>TOTAL</t>
  </si>
  <si>
    <t>Para añadir un producto: escribe su nombre (y su titular) en una fila libre, debajo de la cuenta desde la que lo pagas. Para quitarlo: borra su fila.</t>
  </si>
  <si>
    <t>El saldo de las inversiones es su valor de hoy: escríbelo tú en la celda amarilla. «Exterior» es el dinero que entra o sale de fuera; «Interés», lo que paga el banco o la inversión (rentabilidad, no dinero aportado).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</si>
</sst>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3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64748B"/>
      <sz val="10"/>
    </font>
    <font>
      <b/>
      <color rgb="FF0F172A"/>
      <sz val="10"/>
    </font>
    <font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11" fillId="0" borderId="1" xfId="0" applyNumberFormat="1" applyFont="1" applyBorder="1"/>
    <xf numFmtId="166" fontId="11" fillId="0" borderId="1" xfId="0" applyNumberFormat="1" applyFont="1" applyBorder="1"/>
    <xf numFmtId="0" fontId="8" fillId="0" borderId="1" xfId="0" applyFont="1" applyBorder="1" applyAlignment="1">
      <alignment indent="1"/>
    </xf>
    <xf numFmtId="165" fontId="11" fillId="6" borderId="1" xfId="0" applyNumberFormat="1" applyFont="1" applyFill="1" applyBorder="1"/>
    <xf numFmtId="0" fontId="8" fillId="6" borderId="1" xfId="0" applyFont="1" applyFill="1" applyBorder="1" applyAlignment="1">
      <alignment indent="1"/>
    </xf>
    <xf numFmtId="0" fontId="2" fillId="6" borderId="1" xfId="0" applyFont="1" applyFill="1" applyBorder="1" applyAlignment="1">
      <alignment horizontal="center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2" fillId="4" borderId="0" xfId="0" applyNumberFormat="1" applyFont="1" applyFill="1" applyAlignment="1">
      <alignment horizontal="right"/>
    </xf>
    <xf numFmtId="166" fontId="12" fillId="4" borderId="0" xfId="0" applyNumberFormat="1" applyFont="1" applyFill="1" applyAlignment="1">
      <alignment horizontal="right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5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2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2" t="s">
        <v>19</v>
      </c>
      <c r="G7" s="13"/>
      <c r="H7" s="13"/>
      <c r="I7" s="13"/>
      <c r="J7" s="13"/>
      <c r="K7" s="13"/>
    </row>
    <row r="8" spans="1:11" x14ac:dyDescent="0.25">
      <c r="A8" s="9">
        <v>46317</v>
      </c>
      <c r="B8" s="10"/>
      <c r="C8" s="10"/>
      <c r="D8" s="11"/>
      <c r="F8" s="14" t="s">
        <v>20</v>
      </c>
      <c r="G8" s="15" t="s">
        <v>21</v>
      </c>
      <c r="H8" s="16">
        <f>IF($F8="","",SUMIFS($D$6:$D$205,$C$6:$C$205,$F8)-SUMIFS($D$6:$D$205,$B$6:$B$205,$F8)-SUMIFS($D$6:$D$205,$C$6:$C$205,$F8,$B$6:$B$205,"Interés")+SUMIFS($D$6:$D$205,$B$6:$B$205,$F8,$C$6:$C$205,"Interés"))</f>
      </c>
      <c r="I8" s="17">
        <f>IF($F8="","",IF($H8=0,"",$J8/$H8))</f>
      </c>
      <c r="J8" s="16">
        <f>IF($F8="","",IF(AND($H8=0,$K8=0),"",$K8-$H8))</f>
      </c>
      <c r="K8" s="16">
        <f>IF($F8="","",SUMIFS($D$6:$D$205,$C$6:$C$205,$F8)-SUMIFS($D$6:$D$205,$B$6:$B$205,$F8))</f>
      </c>
    </row>
    <row r="9" spans="1:11" x14ac:dyDescent="0.25">
      <c r="A9" s="9">
        <v>46317</v>
      </c>
      <c r="B9" s="10"/>
      <c r="C9" s="10"/>
      <c r="D9" s="11"/>
      <c r="F9" s="18" t="s">
        <v>22</v>
      </c>
      <c r="G9" s="15" t="s">
        <v>21</v>
      </c>
      <c r="H9" s="16">
        <f>IF($F9="","",SUMIFS($D$6:$D$205,$C$6:$C$205,$F9)-SUMIFS($D$6:$D$205,$B$6:$B$205,$F9)-SUMIFS($D$6:$D$205,$C$6:$C$205,$F9,$B$6:$B$205,"Interés")+SUMIFS($D$6:$D$205,$B$6:$B$205,$F9,$C$6:$C$205,"Interés"))</f>
      </c>
      <c r="I9" s="17">
        <f>IF($F9="","",IF($H9=0,"",$J9/$H9))</f>
      </c>
      <c r="J9" s="16">
        <f>IF($F9="","",IF(AND($H9=0,$K9=0),"",$K9-$H9))</f>
      </c>
      <c r="K9" s="19"/>
    </row>
    <row r="10" spans="1:11" x14ac:dyDescent="0.25">
      <c r="A10" s="9">
        <v>46317</v>
      </c>
      <c r="B10" s="10"/>
      <c r="C10" s="10"/>
      <c r="D10" s="11"/>
      <c r="F10" s="18" t="s">
        <v>23</v>
      </c>
      <c r="G10" s="15" t="s">
        <v>21</v>
      </c>
      <c r="H10" s="16">
        <f>IF($F10="","",SUMIFS($D$6:$D$205,$C$6:$C$205,$F10)-SUMIFS($D$6:$D$205,$B$6:$B$205,$F10)-SUMIFS($D$6:$D$205,$C$6:$C$205,$F10,$B$6:$B$205,"Interés")+SUMIFS($D$6:$D$205,$B$6:$B$205,$F10,$C$6:$C$205,"Interés"))</f>
      </c>
      <c r="I10" s="17">
        <f>IF($F10="","",IF($H10=0,"",$J10/$H10))</f>
      </c>
      <c r="J10" s="16">
        <f>IF($F10="","",IF(AND($H10=0,$K10=0),"",$K10-$H10))</f>
      </c>
      <c r="K10" s="19"/>
    </row>
    <row r="11" spans="1:11" x14ac:dyDescent="0.25">
      <c r="A11" s="9">
        <v>46317</v>
      </c>
      <c r="B11" s="10"/>
      <c r="C11" s="10"/>
      <c r="D11" s="11"/>
      <c r="F11" s="18" t="s">
        <v>24</v>
      </c>
      <c r="G11" s="15" t="s">
        <v>21</v>
      </c>
      <c r="H11" s="16">
        <f>IF($F11="","",SUMIFS($D$6:$D$205,$C$6:$C$205,$F11)-SUMIFS($D$6:$D$205,$B$6:$B$205,$F11)-SUMIFS($D$6:$D$205,$C$6:$C$205,$F11,$B$6:$B$205,"Interés")+SUMIFS($D$6:$D$205,$B$6:$B$205,$F11,$C$6:$C$205,"Interés"))</f>
      </c>
      <c r="I11" s="17">
        <f>IF($F11="","",IF($H11=0,"",$J11/$H11))</f>
      </c>
      <c r="J11" s="16">
        <f>IF($F11="","",IF(AND($H11=0,$K11=0),"",$K11-$H11))</f>
      </c>
      <c r="K11" s="19"/>
    </row>
    <row r="12" spans="1:11" x14ac:dyDescent="0.25">
      <c r="A12" s="9">
        <v>46317</v>
      </c>
      <c r="B12" s="10"/>
      <c r="C12" s="10"/>
      <c r="D12" s="11"/>
      <c r="F12" s="18" t="s">
        <v>25</v>
      </c>
      <c r="G12" s="15" t="s">
        <v>21</v>
      </c>
      <c r="H12" s="16">
        <f>IF($F12="","",SUMIFS($D$6:$D$205,$C$6:$C$205,$F12)-SUMIFS($D$6:$D$205,$B$6:$B$205,$F12)-SUMIFS($D$6:$D$205,$C$6:$C$205,$F12,$B$6:$B$205,"Interés")+SUMIFS($D$6:$D$205,$B$6:$B$205,$F12,$C$6:$C$205,"Interés"))</f>
      </c>
      <c r="I12" s="17">
        <f>IF($F12="","",IF($H12=0,"",$J12/$H12))</f>
      </c>
      <c r="J12" s="16">
        <f>IF($F12="","",IF(AND($H12=0,$K12=0),"",$K12-$H12))</f>
      </c>
      <c r="K12" s="19"/>
    </row>
    <row r="13" spans="1:11" x14ac:dyDescent="0.25">
      <c r="A13" s="9">
        <v>46317</v>
      </c>
      <c r="B13" s="10"/>
      <c r="C13" s="10"/>
      <c r="D13" s="11"/>
      <c r="F13" s="18" t="s">
        <v>26</v>
      </c>
      <c r="G13" s="15" t="s">
        <v>21</v>
      </c>
      <c r="H13" s="16">
        <f>IF($F13="","",SUMIFS($D$6:$D$205,$C$6:$C$205,$F13)-SUMIFS($D$6:$D$205,$B$6:$B$205,$F13)-SUMIFS($D$6:$D$205,$C$6:$C$205,$F13,$B$6:$B$205,"Interés")+SUMIFS($D$6:$D$205,$B$6:$B$205,$F13,$C$6:$C$205,"Interés"))</f>
      </c>
      <c r="I13" s="17">
        <f>IF($F13="","",IF($H13=0,"",$J13/$H13))</f>
      </c>
      <c r="J13" s="16">
        <f>IF($F13="","",IF(AND($H13=0,$K13=0),"",$K13-$H13))</f>
      </c>
      <c r="K13" s="19"/>
    </row>
    <row r="14" spans="1:11" x14ac:dyDescent="0.25">
      <c r="A14" s="9">
        <v>46317</v>
      </c>
      <c r="B14" s="10"/>
      <c r="C14" s="10"/>
      <c r="D14" s="11"/>
      <c r="F14" s="20"/>
      <c r="G14" s="21"/>
      <c r="H14" s="16">
        <f>IF($F14="","",SUMIFS($D$6:$D$205,$C$6:$C$205,$F14)-SUMIFS($D$6:$D$205,$B$6:$B$205,$F14)-SUMIFS($D$6:$D$205,$C$6:$C$205,$F14,$B$6:$B$205,"Interés")+SUMIFS($D$6:$D$205,$B$6:$B$205,$F14,$C$6:$C$205,"Interés"))</f>
      </c>
      <c r="I14" s="17">
        <f>IF($F14="","",IF($H14=0,"",$J14/$H14))</f>
      </c>
      <c r="J14" s="16">
        <f>IF($F14="","",IF(AND($H14=0,$K14=0),"",$K14-$H14))</f>
      </c>
      <c r="K14" s="19"/>
    </row>
    <row r="15" spans="1:11" x14ac:dyDescent="0.25">
      <c r="A15" s="9">
        <v>46317</v>
      </c>
      <c r="B15" s="10"/>
      <c r="C15" s="10"/>
      <c r="D15" s="11"/>
      <c r="F15" s="20"/>
      <c r="G15" s="21"/>
      <c r="H15" s="16">
        <f>IF($F15="","",SUMIFS($D$6:$D$205,$C$6:$C$205,$F15)-SUMIFS($D$6:$D$205,$B$6:$B$205,$F15)-SUMIFS($D$6:$D$205,$C$6:$C$205,$F15,$B$6:$B$205,"Interés")+SUMIFS($D$6:$D$205,$B$6:$B$205,$F15,$C$6:$C$205,"Interés"))</f>
      </c>
      <c r="I15" s="17">
        <f>IF($F15="","",IF($H15=0,"",$J15/$H15))</f>
      </c>
      <c r="J15" s="16">
        <f>IF($F15="","",IF(AND($H15=0,$K15=0),"",$K15-$H15))</f>
      </c>
      <c r="K15" s="19"/>
    </row>
    <row r="16" spans="1:11" x14ac:dyDescent="0.25">
      <c r="A16" s="9">
        <v>46317</v>
      </c>
      <c r="B16" s="10"/>
      <c r="C16" s="10"/>
      <c r="D16" s="11"/>
      <c r="F16" s="20"/>
      <c r="G16" s="21"/>
      <c r="H16" s="16">
        <f>IF($F16="","",SUMIFS($D$6:$D$205,$C$6:$C$205,$F16)-SUMIFS($D$6:$D$205,$B$6:$B$205,$F16)-SUMIFS($D$6:$D$205,$C$6:$C$205,$F16,$B$6:$B$205,"Interés")+SUMIFS($D$6:$D$205,$B$6:$B$205,$F16,$C$6:$C$205,"Interés"))</f>
      </c>
      <c r="I16" s="17">
        <f>IF($F16="","",IF($H16=0,"",$J16/$H16))</f>
      </c>
      <c r="J16" s="16">
        <f>IF($F16="","",IF(AND($H16=0,$K16=0),"",$K16-$H16))</f>
      </c>
      <c r="K16" s="19"/>
    </row>
    <row r="17" spans="1:11" x14ac:dyDescent="0.25">
      <c r="A17" s="9">
        <v>46317</v>
      </c>
      <c r="B17" s="10"/>
      <c r="C17" s="10"/>
      <c r="D17" s="11"/>
      <c r="F17" s="14" t="s">
        <v>27</v>
      </c>
      <c r="G17" s="15" t="s">
        <v>21</v>
      </c>
      <c r="H17" s="16">
        <f>IF($F17="","",SUMIFS($D$6:$D$205,$C$6:$C$205,$F17)-SUMIFS($D$6:$D$205,$B$6:$B$205,$F17)-SUMIFS($D$6:$D$205,$C$6:$C$205,$F17,$B$6:$B$205,"Interés")+SUMIFS($D$6:$D$205,$B$6:$B$205,$F17,$C$6:$C$205,"Interés"))</f>
      </c>
      <c r="I17" s="17">
        <f>IF($F17="","",IF($H17=0,"",$J17/$H17))</f>
      </c>
      <c r="J17" s="16">
        <f>IF($F17="","",IF(AND($H17=0,$K17=0),"",$K17-$H17))</f>
      </c>
      <c r="K17" s="16">
        <f>IF($F17="","",SUMIFS($D$6:$D$205,$C$6:$C$205,$F17)-SUMIFS($D$6:$D$205,$B$6:$B$205,$F17))</f>
      </c>
    </row>
    <row r="18" spans="1:11" x14ac:dyDescent="0.25">
      <c r="A18" s="9">
        <v>46317</v>
      </c>
      <c r="B18" s="10"/>
      <c r="C18" s="10"/>
      <c r="D18" s="11"/>
      <c r="F18" s="14" t="s">
        <v>28</v>
      </c>
      <c r="G18" s="15" t="s">
        <v>21</v>
      </c>
      <c r="H18" s="16">
        <f>IF($F18="","",SUMIFS($D$6:$D$205,$C$6:$C$205,$F18)-SUMIFS($D$6:$D$205,$B$6:$B$205,$F18)-SUMIFS($D$6:$D$205,$C$6:$C$205,$F18,$B$6:$B$205,"Interés")+SUMIFS($D$6:$D$205,$B$6:$B$205,$F18,$C$6:$C$205,"Interés"))</f>
      </c>
      <c r="I18" s="17">
        <f>IF($F18="","",IF($H18=0,"",$J18/$H18))</f>
      </c>
      <c r="J18" s="16">
        <f>IF($F18="","",IF(AND($H18=0,$K18=0),"",$K18-$H18))</f>
      </c>
      <c r="K18" s="16">
        <f>IF($F18="","",SUMIFS($D$6:$D$205,$C$6:$C$205,$F18)-SUMIFS($D$6:$D$205,$B$6:$B$205,$F18))</f>
      </c>
    </row>
    <row r="19" spans="1:11" x14ac:dyDescent="0.25">
      <c r="A19" s="9">
        <v>46317</v>
      </c>
      <c r="B19" s="10"/>
      <c r="C19" s="10"/>
      <c r="D19" s="11"/>
      <c r="F19" s="18" t="s">
        <v>29</v>
      </c>
      <c r="G19" s="15" t="s">
        <v>30</v>
      </c>
      <c r="H19" s="16">
        <f>IF($F19="","",SUMIFS($D$6:$D$205,$C$6:$C$205,$F19)-SUMIFS($D$6:$D$205,$B$6:$B$205,$F19)-SUMIFS($D$6:$D$205,$C$6:$C$205,$F19,$B$6:$B$205,"Interés")+SUMIFS($D$6:$D$205,$B$6:$B$205,$F19,$C$6:$C$205,"Interés"))</f>
      </c>
      <c r="I19" s="17">
        <f>IF($F19="","",IF($H19=0,"",$J19/$H19))</f>
      </c>
      <c r="J19" s="16">
        <f>IF($F19="","",IF(AND($H19=0,$K19=0),"",$K19-$H19))</f>
      </c>
      <c r="K19" s="19"/>
    </row>
    <row r="20" spans="1:11" x14ac:dyDescent="0.25">
      <c r="A20" s="9">
        <v>46317</v>
      </c>
      <c r="B20" s="10"/>
      <c r="C20" s="10"/>
      <c r="D20" s="11"/>
      <c r="F20" s="18" t="s">
        <v>31</v>
      </c>
      <c r="G20" s="15" t="s">
        <v>30</v>
      </c>
      <c r="H20" s="16">
        <f>IF($F20="","",SUMIFS($D$6:$D$205,$C$6:$C$205,$F20)-SUMIFS($D$6:$D$205,$B$6:$B$205,$F20)-SUMIFS($D$6:$D$205,$C$6:$C$205,$F20,$B$6:$B$205,"Interés")+SUMIFS($D$6:$D$205,$B$6:$B$205,$F20,$C$6:$C$205,"Interés"))</f>
      </c>
      <c r="I20" s="17">
        <f>IF($F20="","",IF($H20=0,"",$J20/$H20))</f>
      </c>
      <c r="J20" s="16">
        <f>IF($F20="","",IF(AND($H20=0,$K20=0),"",$K20-$H20))</f>
      </c>
      <c r="K20" s="19"/>
    </row>
    <row r="21" spans="1:11" x14ac:dyDescent="0.25">
      <c r="A21" s="9">
        <v>46317</v>
      </c>
      <c r="B21" s="10"/>
      <c r="C21" s="10"/>
      <c r="D21" s="11"/>
      <c r="F21" s="20"/>
      <c r="G21" s="21"/>
      <c r="H21" s="16">
        <f>IF($F21="","",SUMIFS($D$6:$D$205,$C$6:$C$205,$F21)-SUMIFS($D$6:$D$205,$B$6:$B$205,$F21)-SUMIFS($D$6:$D$205,$C$6:$C$205,$F21,$B$6:$B$205,"Interés")+SUMIFS($D$6:$D$205,$B$6:$B$205,$F21,$C$6:$C$205,"Interés"))</f>
      </c>
      <c r="I21" s="17">
        <f>IF($F21="","",IF($H21=0,"",$J21/$H21))</f>
      </c>
      <c r="J21" s="16">
        <f>IF($F21="","",IF(AND($H21=0,$K21=0),"",$K21-$H21))</f>
      </c>
      <c r="K21" s="19"/>
    </row>
    <row r="22" spans="1:11" x14ac:dyDescent="0.25">
      <c r="A22" s="9">
        <v>46317</v>
      </c>
      <c r="B22" s="10"/>
      <c r="C22" s="10"/>
      <c r="D22" s="11"/>
      <c r="F22" s="20"/>
      <c r="G22" s="21"/>
      <c r="H22" s="16">
        <f>IF($F22="","",SUMIFS($D$6:$D$205,$C$6:$C$205,$F22)-SUMIFS($D$6:$D$205,$B$6:$B$205,$F22)-SUMIFS($D$6:$D$205,$C$6:$C$205,$F22,$B$6:$B$205,"Interés")+SUMIFS($D$6:$D$205,$B$6:$B$205,$F22,$C$6:$C$205,"Interés"))</f>
      </c>
      <c r="I22" s="17">
        <f>IF($F22="","",IF($H22=0,"",$J22/$H22))</f>
      </c>
      <c r="J22" s="16">
        <f>IF($F22="","",IF(AND($H22=0,$K22=0),"",$K22-$H22))</f>
      </c>
      <c r="K22" s="19"/>
    </row>
    <row r="23" spans="1:4" x14ac:dyDescent="0.25">
      <c r="A23" s="9">
        <v>46317</v>
      </c>
      <c r="B23" s="10"/>
      <c r="C23" s="10"/>
      <c r="D23" s="11"/>
    </row>
    <row r="24" spans="1:11" x14ac:dyDescent="0.25">
      <c r="A24" s="9">
        <v>46317</v>
      </c>
      <c r="B24" s="10"/>
      <c r="C24" s="10"/>
      <c r="D24" s="11"/>
      <c r="F24" s="22" t="s">
        <v>32</v>
      </c>
      <c r="G24" s="23"/>
      <c r="H24" s="24">
        <f>IF(SUM($H$8:$H$16)=0,"",SUM($H$8:$H$16))</f>
      </c>
      <c r="I24" s="25">
        <f>IF($H24=0,"",$J24/$H24)</f>
      </c>
      <c r="J24" s="24">
        <f>IF(SUM($J$8:$J$16)=0,"",SUM($J$8:$J$16))</f>
      </c>
      <c r="K24" s="24">
        <f>IF(SUM($K$8:$K$16)=0,"",SUM($K$8:$K$16))</f>
      </c>
    </row>
    <row r="25" spans="1:11" x14ac:dyDescent="0.25">
      <c r="A25" s="9">
        <v>46317</v>
      </c>
      <c r="B25" s="10"/>
      <c r="C25" s="10"/>
      <c r="D25" s="11"/>
      <c r="F25" s="22" t="s">
        <v>33</v>
      </c>
      <c r="G25" s="23" t="s">
        <v>21</v>
      </c>
      <c r="H25" s="24">
        <f>IF(SUMIFS($H$6:$H$22,$G$6:$G$22,$G25)=0,"",SUMIFS($H$6:$H$22,$G$6:$G$22,$G25))</f>
      </c>
      <c r="I25" s="25">
        <f>IF($H25=0,"",$J25/$H25)</f>
      </c>
      <c r="J25" s="24">
        <f>IF(SUMIFS($J$6:$J$22,$G$6:$G$22,$G25)=0,"",SUMIFS($J$6:$J$22,$G$6:$G$22,$G25))</f>
      </c>
      <c r="K25" s="24">
        <f>IF(SUMIFS($K$6:$K$22,$G$6:$G$22,$G25)=0,"",SUMIFS($K$6:$K$22,$G$6:$G$22,$G25))</f>
      </c>
    </row>
    <row r="26" spans="1:11" x14ac:dyDescent="0.25">
      <c r="A26" s="9">
        <v>46317</v>
      </c>
      <c r="B26" s="10"/>
      <c r="C26" s="10"/>
      <c r="D26" s="11"/>
      <c r="F26" s="22" t="s">
        <v>34</v>
      </c>
      <c r="G26" s="23" t="s">
        <v>30</v>
      </c>
      <c r="H26" s="24">
        <f>IF(SUMIFS($H$6:$H$22,$G$6:$G$22,$G26)=0,"",SUMIFS($H$6:$H$22,$G$6:$G$22,$G26))</f>
      </c>
      <c r="I26" s="25">
        <f>IF($H26=0,"",$J26/$H26)</f>
      </c>
      <c r="J26" s="24">
        <f>IF(SUMIFS($J$6:$J$22,$G$6:$G$22,$G26)=0,"",SUMIFS($J$6:$J$22,$G$6:$G$22,$G26))</f>
      </c>
      <c r="K26" s="24">
        <f>IF(SUMIFS($K$6:$K$22,$G$6:$G$22,$G26)=0,"",SUMIFS($K$6:$K$22,$G$6:$G$22,$G26))</f>
      </c>
    </row>
    <row r="27" ht="18" customHeight="1" spans="1:11" x14ac:dyDescent="0.25">
      <c r="A27" s="9">
        <v>46317</v>
      </c>
      <c r="B27" s="10"/>
      <c r="C27" s="10"/>
      <c r="D27" s="11"/>
      <c r="F27" s="26" t="s">
        <v>35</v>
      </c>
      <c r="G27" s="27"/>
      <c r="H27" s="28">
        <f>IF(SUM($H$6:$H$22)=0,"",SUM($H$6:$H$22))</f>
      </c>
      <c r="I27" s="29">
        <f>IF($H27=0,"",$J27/$H27)</f>
      </c>
      <c r="J27" s="28">
        <f>IF(SUM($J$6:$J$22)=0,"",SUM($J$6:$J$22))</f>
      </c>
      <c r="K27" s="28">
        <f>IF(SUM($K$6:$K$22)=0,"",SUM($K$6:$K$22))</f>
      </c>
    </row>
    <row r="28" spans="1:4" x14ac:dyDescent="0.25">
      <c r="A28" s="9">
        <v>46317</v>
      </c>
      <c r="B28" s="10"/>
      <c r="C28" s="10"/>
      <c r="D28" s="11"/>
    </row>
    <row r="29" spans="1:11" x14ac:dyDescent="0.25">
      <c r="A29" s="30" t="s">
        <v>36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</row>
    <row r="30" spans="1:11" x14ac:dyDescent="0.25">
      <c r="A30" s="30" t="s">
        <v>37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</sheetData>
  <mergeCells count="8">
    <mergeCell ref="A1:K1"/>
    <mergeCell ref="A2:D3"/>
    <mergeCell ref="H2:I2"/>
    <mergeCell ref="F3:K3"/>
    <mergeCell ref="A4:D4"/>
    <mergeCell ref="F4:K4"/>
    <mergeCell ref="A29:K29"/>
    <mergeCell ref="A30:K30"/>
  </mergeCells>
  <conditionalFormatting sqref="A6:D2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I6:J22">
    <cfRule type="cellIs" dxfId="3" priority="4" operator="greaterThan">
      <formula>0</formula>
    </cfRule>
    <cfRule type="cellIs" dxfId="4" priority="5" operator="lessThan">
      <formula>0</formula>
    </cfRule>
  </conditionalFormatting>
  <dataValidations count="3">
    <dataValidation type="list" allowBlank="1" sqref="B6:B205">
      <formula1>$F$6:$F$22</formula1>
    </dataValidation>
    <dataValidation type="list" allowBlank="1" sqref="C6:C205">
      <formula1>$F$6:$F$22</formula1>
    </dataValidation>
    <dataValidation type="decimal" operator="greaterThan" allowBlank="1" sqref="D6:D2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2026-10-22T09:02:45Z</dcterms:created>
  <dcterms:modified xsi:type="dcterms:W3CDTF">2026-10-22T09:02:45Z</dcterms:modified>
</cp:coreProperties>
</file>