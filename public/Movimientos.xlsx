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ientos" state="visible" r:id="rId4"/>
    <sheet sheetId="2" name="Gráficos" state="visible" r:id="rId5"/>
    <sheet sheetId="3" name="Mapa del dinero" state="visible" r:id="rId6"/>
  </sheets>
  <definedNames>
    <definedName name="ListaNombres">OFFSET('Movimientos'!$F$6,0,0,MAX(COUNTA('Movimientos'!$F$6:$F$19),1),1)</definedName>
    <definedName name="_xlnm.Print_Area" localSheetId="0">'Movimientos'!$A1:$O27</definedName>
    <definedName name="_xlnm.Print_Titles" localSheetId="0">'Movimientos'!$1:$5</definedName>
    <definedName name="_xlnm.Print_Area" localSheetId="1">'Gráficos'!$A1:$O17</definedName>
    <definedName name="_xlnm.Print_Area" localSheetId="2">'Mapa del dinero'!$A1:$O35</definedName>
  </definedNames>
  <calcPr calcId="171027" fullCalcOnLoad="1"/>
</workbook>
</file>

<file path=xl/sharedStrings.xml><?xml version="1.0" encoding="utf-8"?>
<sst xmlns="http://schemas.openxmlformats.org/spreadsheetml/2006/main" count="93" uniqueCount="63">
  <si>
    <t>Myinvestor</t>
  </si>
  <si>
    <t>Escribe cada movimiento: fecha, de dónde sale (De), a dónde va (A) e importe. Solo se ve una fila: al rellenarla, se abre la siguiente.</t>
  </si>
  <si>
    <t>Capital aportado</t>
  </si>
  <si>
    <t>+</t>
  </si>
  <si>
    <t>Rentabilidad</t>
  </si>
  <si>
    <t>=</t>
  </si>
  <si>
    <t>Saldo</t>
  </si>
  <si>
    <t>Resumen de cada cuenta, con lo invertido en cada inversión debajo; después, el total de cada cuenta, el de cada titular y el TOTAL.</t>
  </si>
  <si>
    <t>MOVIMIENTOS</t>
  </si>
  <si>
    <t>RESUMEN</t>
  </si>
  <si>
    <t>Fecha</t>
  </si>
  <si>
    <t>De  (de dónde sale)</t>
  </si>
  <si>
    <t>A  (a dónde va)</t>
  </si>
  <si>
    <t>Importe</t>
  </si>
  <si>
    <t>Inversiones</t>
  </si>
  <si>
    <t>Titular</t>
  </si>
  <si>
    <t>Rentab. %</t>
  </si>
  <si>
    <t>Rentab. €</t>
  </si>
  <si>
    <t>Exterior</t>
  </si>
  <si>
    <t>Cuenta Myinvestor</t>
  </si>
  <si>
    <t>Vanguard Global Stock Index</t>
  </si>
  <si>
    <t>Marta</t>
  </si>
  <si>
    <t>Fidelity MSCI World Index</t>
  </si>
  <si>
    <t>Cartera indexada Metal</t>
  </si>
  <si>
    <t>Fondo indexado</t>
  </si>
  <si>
    <t>iShares Developed World Index</t>
  </si>
  <si>
    <t>Fondo ahorro</t>
  </si>
  <si>
    <t>Total Cuenta Myinvestor-Marta</t>
  </si>
  <si>
    <t>Total Fondo ahorro</t>
  </si>
  <si>
    <t>TOTAL</t>
  </si>
  <si>
    <t>Para añadir una inversión: escribe su nombre (y su titular) en la fila amarilla; al rellenarla sale la siguiente. Para quitarla: borra su nombre y desaparece. Entra al momento en los desplegables.</t>
  </si>
  <si>
    <t>La rentabilidad de cada cuenta o inversión se escribe en %. Para quitar un movimiento de este .xlsx, borra De, A e Importe y pon la fecha de hoy: escribir 0 solo oculta los datos. Al volver a descargar el Excel desde la app, los movimientos a cero se omiten de verdad.</t>
  </si>
  <si>
    <t>Gráficos</t>
  </si>
  <si>
    <t>Todo sale de la hoja «Movimientos»: lo que cambies allí, cambia aquí.</t>
  </si>
  <si>
    <t>Mapa del dinero</t>
  </si>
  <si>
    <t>Lee cada recorrido de izquierda a derecha: origen → paso intermedio → destino. Una banda más larga significa más dinero.</t>
  </si>
  <si>
    <t xml:space="preserve">ENTRA DE FUERA
1550,00 €</t>
  </si>
  <si>
    <t xml:space="preserve">SIGUE EN CUENTAS
380,00 €</t>
  </si>
  <si>
    <t xml:space="preserve">ESTÁ INVERTIDO
1170,00 €</t>
  </si>
  <si>
    <t>ORIGEN</t>
  </si>
  <si>
    <t>PASO INTERMEDIO</t>
  </si>
  <si>
    <t>DESTINO FINAL</t>
  </si>
  <si>
    <t xml:space="preserve">Exterior
400,00 €</t>
  </si>
  <si>
    <t>400,00 €  ▶</t>
  </si>
  <si>
    <t>Sin cuenta intermedia</t>
  </si>
  <si>
    <t>▶</t>
  </si>
  <si>
    <t xml:space="preserve">Fondo indexado
400,00 €</t>
  </si>
  <si>
    <t xml:space="preserve">Exterior
380,00 €</t>
  </si>
  <si>
    <t>380,00 €  ▶</t>
  </si>
  <si>
    <t xml:space="preserve">Sigue en Cuenta Myinvestor
380,00 €</t>
  </si>
  <si>
    <t xml:space="preserve">Exterior
300,00 €</t>
  </si>
  <si>
    <t>300,00 €  ▶</t>
  </si>
  <si>
    <t xml:space="preserve">Vanguard Global Stock Index
300,00 €</t>
  </si>
  <si>
    <t xml:space="preserve">Exterior
200,00 €</t>
  </si>
  <si>
    <t>200,00 €  ▶</t>
  </si>
  <si>
    <t xml:space="preserve">Fidelity MSCI World Index
200,00 €</t>
  </si>
  <si>
    <t xml:space="preserve">Exterior
150,00 €</t>
  </si>
  <si>
    <t>150,00 €  ▶</t>
  </si>
  <si>
    <t xml:space="preserve">iShares Developed World Index
150,00 €</t>
  </si>
  <si>
    <t xml:space="preserve">Exterior
120,00 €</t>
  </si>
  <si>
    <t>120,00 €  ▶</t>
  </si>
  <si>
    <t xml:space="preserve">Cartera indexada Metal
120,00 €</t>
  </si>
  <si>
    <t>El mapa refleja los movimientos al descargar el Excel. Para actualizarlo tras editarlo, vuelve a descargarlo desde la app.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</si>
</sst>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#,##0.00 &quot;€&quot;"/>
    <numFmt numFmtId="166" formatCode="0.00 %"/>
  </numFmts>
  <fonts count="21" x14ac:knownFonts="1">
    <font>
      <color theme="1"/>
      <family val="2"/>
      <scheme val="minor"/>
      <sz val="11"/>
      <name val="Calibri"/>
    </font>
    <font>
      <b/>
      <color rgb="FF0F172A"/>
      <sz val="14"/>
    </font>
    <font>
      <color rgb="FF64748B"/>
      <sz val="9"/>
    </font>
    <font>
      <b/>
      <color rgb="FF1D4ED8"/>
      <sz val="10"/>
    </font>
    <font>
      <b/>
      <color rgb="FF64748B"/>
      <sz val="11"/>
    </font>
    <font>
      <i/>
      <color rgb="FF64748B"/>
      <sz val="9"/>
    </font>
    <font>
      <b/>
      <color rgb="FFFFFFFF"/>
      <sz val="11"/>
    </font>
    <font>
      <b/>
      <color rgb="FF334155"/>
      <sz val="10"/>
    </font>
    <font>
      <color rgb="FF0F172A"/>
      <sz val="10"/>
    </font>
    <font>
      <b/>
      <i/>
      <color rgb="FF0F172A"/>
      <sz val="10"/>
    </font>
    <font>
      <b/>
      <color rgb="FF0F172A"/>
      <sz val="10"/>
    </font>
    <font>
      <color rgb="FF2447B8"/>
      <sz val="10"/>
    </font>
    <font>
      <color rgb="FFEA580C"/>
      <sz val="10"/>
    </font>
    <font>
      <color rgb="FFFFFFFF"/>
      <sz val="10"/>
    </font>
    <font>
      <color rgb="FFFFFFFF"/>
      <sz val="9"/>
    </font>
    <font>
      <b/>
      <sz val="10"/>
    </font>
    <font>
      <b/>
      <color rgb="FF0F172A"/>
      <sz val="16"/>
    </font>
    <font>
      <b/>
      <color rgb="FFFFFFFF"/>
      <sz val="12"/>
    </font>
    <font>
      <b/>
      <color rgb="FF64748B"/>
      <sz val="10"/>
    </font>
    <font>
      <b/>
      <color rgb="FF0F766E"/>
      <sz val="10"/>
    </font>
    <font>
      <b/>
      <color rgb="FF1D4ED8"/>
      <sz val="11"/>
    </font>
  </fonts>
  <fills count="12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1D4ED8"/>
      </patternFill>
    </fill>
    <fill>
      <patternFill patternType="solid">
        <fgColor rgb="FFF1F5F9"/>
      </patternFill>
    </fill>
    <fill>
      <patternFill patternType="solid">
        <fgColor rgb="FFF8FAFC"/>
      </patternFill>
    </fill>
    <fill>
      <patternFill patternType="solid">
        <fgColor rgb="FF475569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CCFBF1"/>
      </patternFill>
    </fill>
    <fill>
      <patternFill patternType="solid">
        <fgColor rgb="FF14B8A6"/>
      </patternFill>
    </fill>
    <fill>
      <patternFill patternType="solid">
        <fgColor rgb="FFE2E8F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EE9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right" vertical="center"/>
    </xf>
    <xf numFmtId="164" fontId="8" fillId="0" borderId="0" xfId="0" applyNumberFormat="1" applyFont="1" applyProtection="1">
      <protection locked="0"/>
    </xf>
    <xf numFmtId="0" fontId="8" fillId="0" borderId="0" xfId="0" applyFont="1" applyProtection="1">
      <protection locked="0"/>
    </xf>
    <xf numFmtId="165" fontId="8" fillId="0" borderId="0" xfId="0" applyNumberFormat="1" applyFont="1" applyProtection="1">
      <protection locked="0"/>
    </xf>
    <xf numFmtId="0" fontId="9" fillId="0" borderId="0" xfId="0" applyFont="1"/>
    <xf numFmtId="0" fontId="0" fillId="5" borderId="0" xfId="0" applyFill="1"/>
    <xf numFmtId="0" fontId="10" fillId="0" borderId="1" xfId="0" applyFont="1" applyBorder="1" applyAlignment="1"/>
    <xf numFmtId="0" fontId="2" fillId="0" borderId="1" xfId="0" applyFont="1" applyBorder="1" applyAlignment="1">
      <alignment horizontal="center"/>
    </xf>
    <xf numFmtId="165" fontId="8" fillId="0" borderId="1" xfId="0" applyNumberFormat="1" applyFont="1" applyBorder="1"/>
    <xf numFmtId="166" fontId="8" fillId="0" borderId="1" xfId="0" applyNumberFormat="1" applyFont="1" applyBorder="1" applyProtection="1">
      <protection locked="0"/>
    </xf>
    <xf numFmtId="0" fontId="8" fillId="0" borderId="1" xfId="0" applyFont="1" applyBorder="1" applyAlignment="1">
      <alignment indent="1"/>
    </xf>
    <xf numFmtId="0" fontId="11" fillId="0" borderId="1" xfId="0" applyFont="1" applyBorder="1" applyAlignment="1">
      <alignment indent="1"/>
    </xf>
    <xf numFmtId="165" fontId="11" fillId="0" borderId="1" xfId="0" applyNumberFormat="1" applyFont="1" applyBorder="1"/>
    <xf numFmtId="166" fontId="11" fillId="0" borderId="1" xfId="0" applyNumberFormat="1" applyFont="1" applyBorder="1" applyProtection="1">
      <protection locked="0"/>
    </xf>
    <xf numFmtId="0" fontId="12" fillId="0" borderId="1" xfId="0" applyFont="1" applyBorder="1" applyAlignment="1"/>
    <xf numFmtId="165" fontId="12" fillId="0" borderId="1" xfId="0" applyNumberFormat="1" applyFont="1" applyBorder="1"/>
    <xf numFmtId="166" fontId="12" fillId="0" borderId="1" xfId="0" applyNumberFormat="1" applyFont="1" applyBorder="1" applyProtection="1">
      <protection locked="0"/>
    </xf>
    <xf numFmtId="0" fontId="13" fillId="0" borderId="0" xfId="0" applyFont="1" applyAlignment="1" applyProtection="1">
      <alignment indent="1"/>
      <protection locked="0"/>
    </xf>
    <xf numFmtId="0" fontId="14" fillId="0" borderId="0" xfId="0" applyFont="1" applyAlignment="1" applyProtection="1">
      <alignment horizontal="center"/>
      <protection locked="0"/>
    </xf>
    <xf numFmtId="165" fontId="13" fillId="0" borderId="0" xfId="0" applyNumberFormat="1" applyFont="1"/>
    <xf numFmtId="166" fontId="13" fillId="0" borderId="0" xfId="0" applyNumberFormat="1" applyFont="1" applyProtection="1">
      <protection locked="0"/>
    </xf>
    <xf numFmtId="0" fontId="10" fillId="4" borderId="0" xfId="0" applyFont="1" applyFill="1"/>
    <xf numFmtId="0" fontId="2" fillId="4" borderId="0" xfId="0" applyFont="1" applyFill="1" applyAlignment="1">
      <alignment horizontal="center"/>
    </xf>
    <xf numFmtId="165" fontId="15" fillId="4" borderId="0" xfId="0" applyNumberFormat="1" applyFont="1" applyFill="1" applyAlignment="1">
      <alignment horizontal="right"/>
    </xf>
    <xf numFmtId="166" fontId="15" fillId="4" borderId="0" xfId="0" applyNumberFormat="1" applyFont="1" applyFill="1" applyAlignment="1">
      <alignment horizontal="right"/>
    </xf>
    <xf numFmtId="0" fontId="6" fillId="3" borderId="0" xfId="0" applyFont="1" applyFill="1"/>
    <xf numFmtId="165" fontId="6" fillId="3" borderId="0" xfId="0" applyNumberFormat="1" applyFont="1" applyFill="1" applyAlignment="1">
      <alignment horizontal="right"/>
    </xf>
    <xf numFmtId="166" fontId="6" fillId="3" borderId="0" xfId="0" applyNumberFormat="1" applyFont="1" applyFill="1" applyAlignment="1">
      <alignment horizontal="right"/>
    </xf>
    <xf numFmtId="164" fontId="5" fillId="0" borderId="0" xfId="0" applyNumberFormat="1" applyFont="1" applyProtection="1">
      <protection locked="0"/>
    </xf>
    <xf numFmtId="0" fontId="16" fillId="0" borderId="0" xfId="0" applyFont="1" applyAlignment="1">
      <alignment vertical="center"/>
    </xf>
    <xf numFmtId="0" fontId="17" fillId="6" borderId="0" xfId="0" applyFont="1" applyFill="1" applyAlignment="1">
      <alignment horizontal="center" vertical="center" wrapText="1"/>
    </xf>
    <xf numFmtId="0" fontId="17" fillId="3" borderId="0" xfId="0" applyFont="1" applyFill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8" fillId="4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19" fillId="9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center" vertical="center" wrapText="1"/>
    </xf>
    <xf numFmtId="0" fontId="0" fillId="10" borderId="0" xfId="0" applyFill="1"/>
    <xf numFmtId="0" fontId="6" fillId="3" borderId="0" xfId="0" applyFont="1" applyFill="1" applyAlignment="1">
      <alignment horizontal="center" vertical="center" wrapText="1"/>
    </xf>
    <xf numFmtId="0" fontId="20" fillId="2" borderId="0" xfId="0" applyFont="1" applyFill="1" applyAlignment="1">
      <alignment horizontal="center" vertical="center" wrapText="1"/>
    </xf>
    <xf numFmtId="0" fontId="0" fillId="11" borderId="0" xfId="0" applyFill="1"/>
  </cellXfs>
  <cellStyles count="1">
    <cellStyle name="Normal" xfId="0" builtinId="0"/>
  </cellStyles>
  <dxfs count="15">
    <dxf>
      <font>
        <color rgb="FFFFFFFF"/>
        <sz val="10"/>
      </font>
    </dxf>
    <dxf>
      <font>
        <color rgb="FF0F172A"/>
        <sz val="10"/>
      </font>
      <fill>
        <patternFill patternType="solid">
          <fgColor rgb="FFFEF3C7"/>
        </patternFill>
      </fill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fill>
        <patternFill patternType="solid">
          <fgColor rgb="FFFFFBEB"/>
        </patternFill>
      </fill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ill>
        <patternFill patternType="solid">
          <fgColor rgb="FFFFFBEB"/>
        </patternFill>
      </fill>
    </dxf>
    <dxf>
      <fill>
        <patternFill patternType="solid">
          <fgColor rgb="FFFFFBEB"/>
        </patternFill>
      </fill>
    </dxf>
    <dxf>
      <fill>
        <patternFill patternType="solid">
          <fgColor rgb="FFFFFBEB"/>
        </patternFill>
      </fill>
    </dxf>
    <dxf>
      <font>
        <color rgb="FFFFFFFF"/>
        <sz val="10"/>
      </font>
    </dxf>
    <dxf>
      <font>
        <color rgb="FF2447B8"/>
      </font>
    </dxf>
    <dxf>
      <font>
        <color rgb="FFEA580C"/>
      </font>
    </dxf>
    <dxf>
      <font>
        <color rgb="FF047857"/>
      </font>
    </dxf>
    <dxf>
      <font>
        <color rgb="FFB91C1C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Marta</a:t>
            </a:r>
            <a:endParaRPr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Aportado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8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Marta</c:v>
              </c:pt>
            </c:strLit>
          </c:cat>
          <c:val>
            <c:numRef>
              <c:f>Movimientos!$H$21</c:f>
            </c:numRef>
          </c:val>
        </c:ser>
        <c:ser>
          <c:idx val="1"/>
          <c:order val="1"/>
          <c:tx>
            <c:v>Rentabilidad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8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Marta</c:v>
              </c:pt>
            </c:strLit>
          </c:cat>
          <c:val>
            <c:numRef>
              <c:f>Movimientos!$J$21</c:f>
            </c:numRef>
          </c:val>
        </c:ser>
        <c:ser>
          <c:idx val="2"/>
          <c:order val="2"/>
          <c:tx>
            <c:v>Aportado + rentabilidad</c:v>
          </c:tx>
          <c:spPr>
            <a:solidFill>
              <a:srgbClr val="0F766E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8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Marta</c:v>
              </c:pt>
            </c:strLit>
          </c:cat>
          <c:val>
            <c:numRef>
              <c:f>Movimientos!$K$21</c:f>
            </c:numRef>
          </c:val>
        </c:ser>
        <c:gapWidth val="60"/>
        <c:overlap val="-2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extTo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0000001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334155"/>
              </a:solidFill>
            </a:defRPr>
          </a:pPr>
          <a:endParaRPr/>
        </a:p>
      </c:txPr>
    </c:legend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Fondo ahorro</a:t>
            </a:r>
            <a:endParaRPr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Aportado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8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Movimientos!$H$22</c:f>
            </c:numRef>
          </c:val>
        </c:ser>
        <c:ser>
          <c:idx val="1"/>
          <c:order val="1"/>
          <c:tx>
            <c:v>Rentabilidad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8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Movimientos!$J$22</c:f>
            </c:numRef>
          </c:val>
        </c:ser>
        <c:ser>
          <c:idx val="2"/>
          <c:order val="2"/>
          <c:tx>
            <c:v>Aportado + rentabilidad</c:v>
          </c:tx>
          <c:spPr>
            <a:solidFill>
              <a:srgbClr val="0F766E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8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Movimientos!$K$22</c:f>
            </c:numRef>
          </c:val>
        </c:ser>
        <c:gapWidth val="60"/>
        <c:overlap val="-2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extTo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0000001"/>
        <c:crosses val="autoZero"/>
        <c:crossBetween val="between"/>
      </c:valAx>
    </c:plotArea>
    <c:legend>
      <c:legendPos val="b"/>
      <c:overlay val="0"/>
      <c:txPr>
        <a:bodyPr/>
        <a:lstStyle/>
        <a:p>
          <a:pPr>
            <a:defRPr sz="900" b="0">
              <a:solidFill>
                <a:srgbClr val="334155"/>
              </a:solidFill>
            </a:defRPr>
          </a:pPr>
          <a:endParaRPr/>
        </a:p>
      </c:txPr>
    </c:legend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6</xdr:col>
      <xdr:colOff>0</xdr:colOff>
      <xdr:row>14</xdr:row>
      <xdr:rowOff>0</xdr:rowOff>
    </xdr:to>
    <xdr:graphicFrame macro="">
      <xdr:nvGraphicFramePr>
        <xdr:cNvPr id="2" name="Gra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3</xdr:row>
      <xdr:rowOff>0</xdr:rowOff>
    </xdr:from>
    <xdr:to>
      <xdr:col>14</xdr:col>
      <xdr:colOff>0</xdr:colOff>
      <xdr:row>14</xdr:row>
      <xdr:rowOff>0</xdr:rowOff>
    </xdr:to>
    <xdr:graphicFrame macro="">
      <xdr:nvGraphicFramePr>
        <xdr:cNvPr id="3" name="Gra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K5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3" width="21" customWidth="1"/>
    <col min="4" max="4" width="12" customWidth="1"/>
    <col min="5" max="5" width="2" customWidth="1"/>
    <col min="6" max="6" width="29" customWidth="1"/>
    <col min="7" max="7" width="11" customWidth="1"/>
    <col min="8" max="8" width="15" customWidth="1"/>
    <col min="9" max="9" width="10" customWidth="1"/>
    <col min="10" max="10" width="12" customWidth="1"/>
    <col min="11" max="11" width="13" customWidth="1"/>
    <col min="12" max="15" width="15" customWidth="1"/>
  </cols>
  <sheetData>
    <row r="1" ht="2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 x14ac:dyDescent="0.25">
      <c r="A2" s="2" t="s">
        <v>1</v>
      </c>
      <c r="B2" s="2"/>
      <c r="C2" s="2"/>
      <c r="D2" s="2"/>
      <c r="F2" s="3" t="s">
        <v>2</v>
      </c>
      <c r="G2" s="4" t="s">
        <v>3</v>
      </c>
      <c r="H2" s="3" t="s">
        <v>4</v>
      </c>
      <c r="I2" s="3"/>
      <c r="J2" s="4" t="s">
        <v>5</v>
      </c>
      <c r="K2" s="3" t="s">
        <v>6</v>
      </c>
    </row>
    <row r="3" ht="26" customHeight="1" spans="1:11" x14ac:dyDescent="0.25">
      <c r="A3" s="2"/>
      <c r="B3" s="2"/>
      <c r="C3" s="2"/>
      <c r="D3" s="2"/>
      <c r="F3" s="5" t="s">
        <v>7</v>
      </c>
      <c r="G3" s="5"/>
      <c r="H3" s="5"/>
      <c r="I3" s="5"/>
      <c r="J3" s="5"/>
      <c r="K3" s="5"/>
    </row>
    <row r="4" ht="18" customHeight="1" spans="1:11" x14ac:dyDescent="0.25">
      <c r="A4" s="6" t="s">
        <v>8</v>
      </c>
      <c r="B4" s="6"/>
      <c r="C4" s="6"/>
      <c r="D4" s="6"/>
      <c r="F4" s="6" t="s">
        <v>9</v>
      </c>
      <c r="G4" s="6"/>
      <c r="H4" s="6"/>
      <c r="I4" s="6"/>
      <c r="J4" s="6"/>
      <c r="K4" s="6"/>
    </row>
    <row r="5" ht="16" customHeight="1" spans="1:11" x14ac:dyDescent="0.25">
      <c r="A5" s="7" t="s">
        <v>10</v>
      </c>
      <c r="B5" s="7" t="s">
        <v>11</v>
      </c>
      <c r="C5" s="7" t="s">
        <v>12</v>
      </c>
      <c r="D5" s="7" t="s">
        <v>13</v>
      </c>
      <c r="F5" s="7" t="s">
        <v>14</v>
      </c>
      <c r="G5" s="7" t="s">
        <v>15</v>
      </c>
      <c r="H5" s="8" t="s">
        <v>2</v>
      </c>
      <c r="I5" s="8" t="s">
        <v>16</v>
      </c>
      <c r="J5" s="8" t="s">
        <v>17</v>
      </c>
      <c r="K5" s="8" t="s">
        <v>6</v>
      </c>
    </row>
    <row r="6" spans="1:11" x14ac:dyDescent="0.25">
      <c r="A6" s="9">
        <v>46296</v>
      </c>
      <c r="B6" s="10" t="s">
        <v>18</v>
      </c>
      <c r="C6" s="10" t="s">
        <v>19</v>
      </c>
      <c r="D6" s="11">
        <v>1000</v>
      </c>
      <c r="F6" s="12" t="s">
        <v>18</v>
      </c>
      <c r="G6" s="13"/>
      <c r="H6" s="13"/>
      <c r="I6" s="13"/>
      <c r="J6" s="13"/>
      <c r="K6" s="13"/>
    </row>
    <row r="7" spans="1:11" x14ac:dyDescent="0.25">
      <c r="A7" s="9">
        <v>46297</v>
      </c>
      <c r="B7" s="10" t="s">
        <v>19</v>
      </c>
      <c r="C7" s="10" t="s">
        <v>20</v>
      </c>
      <c r="D7" s="11">
        <v>300</v>
      </c>
      <c r="F7" s="14" t="s">
        <v>19</v>
      </c>
      <c r="G7" s="15" t="s">
        <v>21</v>
      </c>
      <c r="H7" s="16">
        <f>IFERROR(IF($F7="","",IF(AND(COUNTIFS($C$6:$C$505,"Cuenta Myinvestor",$D$6:$D$505,"&gt;0")+COUNTIFS($B$6:$B$505,"Cuenta Myinvestor",$D$6:$D$505,"&gt;0")&gt;0,SUMIFS($D$6:$D$505,$C$6:$C$505,"Cuenta Myinvestor")-SUMIFS($D$6:$D$505,$B$6:$B$505,"Cuenta Myinvestor")&lt;=0,SUMPRODUCT(--($H8:$H10&lt;&gt;""))=0),"",SUMIFS($D$6:$D$505,$C$6:$C$505,"Cuenta Myinvestor")-SUMIFS($D$6:$D$505,$B$6:$B$505,"Cuenta Myinvestor"))),"")</f>
      </c>
      <c r="I7" s="17"/>
      <c r="J7" s="16">
        <f>IFERROR(IF($F7="","",IF(AND(COUNTIFS($C$6:$C$505,"Cuenta Myinvestor",$D$6:$D$505,"&gt;0")+COUNTIFS($B$6:$B$505,"Cuenta Myinvestor",$D$6:$D$505,"&gt;0")&gt;0,SUMIFS($D$6:$D$505,$C$6:$C$505,"Cuenta Myinvestor")-SUMIFS($D$6:$D$505,$B$6:$B$505,"Cuenta Myinvestor")&lt;=0,SUMPRODUCT(--($H8:$H10&lt;&gt;""))=0),"",IF(OR($H7="",$K7=""),"",$K7-$H7))),"")</f>
      </c>
      <c r="K7" s="16">
        <f>IFERROR(IF($F7="","",IF(AND(COUNTIFS($C$6:$C$505,"Cuenta Myinvestor",$D$6:$D$505,"&gt;0")+COUNTIFS($B$6:$B$505,"Cuenta Myinvestor",$D$6:$D$505,"&gt;0")&gt;0,SUMIFS($D$6:$D$505,$C$6:$C$505,"Cuenta Myinvestor")-SUMIFS($D$6:$D$505,$B$6:$B$505,"Cuenta Myinvestor")&lt;=0,SUMPRODUCT(--($H8:$H10&lt;&gt;""))=0),"",IF(OR($H7="",$H7=0),"",IF($I7="",$H7,$H7*(1+$I7))))),"")</f>
      </c>
    </row>
    <row r="8" spans="1:11" x14ac:dyDescent="0.25">
      <c r="A8" s="9">
        <v>46297</v>
      </c>
      <c r="B8" s="10" t="s">
        <v>19</v>
      </c>
      <c r="C8" s="10" t="s">
        <v>22</v>
      </c>
      <c r="D8" s="11">
        <v>200</v>
      </c>
      <c r="F8" s="18" t="s">
        <v>20</v>
      </c>
      <c r="G8" s="15" t="s">
        <v>21</v>
      </c>
      <c r="H8" s="16">
        <f>IFERROR(IF($F8="","",IF(AND(SUMIFS($D$6:$D$505,$C$6:$C$505,"Vanguard Global Stock Index")&gt;0,SUMIFS($D$6:$D$505,$C$6:$C$505,"Vanguard Global Stock Index")-SUMIFS($D$6:$D$505,$B$6:$B$505,"Vanguard Global Stock Index")&lt;=0),"",SUMIFS($D$6:$D$505,$C$6:$C$505,"Vanguard Global Stock Index")-SUMIFS($D$6:$D$505,$B$6:$B$505,"Vanguard Global Stock Index"))),"")</f>
      </c>
      <c r="I8" s="17"/>
      <c r="J8" s="16">
        <f>IFERROR(IF($F8="","",IF(AND(SUMIFS($D$6:$D$505,$C$6:$C$505,"Vanguard Global Stock Index")&gt;0,SUMIFS($D$6:$D$505,$C$6:$C$505,"Vanguard Global Stock Index")-SUMIFS($D$6:$D$505,$B$6:$B$505,"Vanguard Global Stock Index")&lt;=0),"",IF(OR($H8="",$K8=""),"",$K8-$H8))),"")</f>
      </c>
      <c r="K8" s="16">
        <f>IFERROR(IF($F8="","",IF(AND(SUMIFS($D$6:$D$505,$C$6:$C$505,"Vanguard Global Stock Index")&gt;0,SUMIFS($D$6:$D$505,$C$6:$C$505,"Vanguard Global Stock Index")-SUMIFS($D$6:$D$505,$B$6:$B$505,"Vanguard Global Stock Index")&lt;=0),"",IF(OR($H8="",$H8=0),"",IF($I8="",$H8,$H8*(1+$I8))))),"")</f>
      </c>
    </row>
    <row r="9" spans="1:11" x14ac:dyDescent="0.25">
      <c r="A9" s="9">
        <v>46298</v>
      </c>
      <c r="B9" s="10" t="s">
        <v>19</v>
      </c>
      <c r="C9" s="10" t="s">
        <v>23</v>
      </c>
      <c r="D9" s="11">
        <v>120</v>
      </c>
      <c r="F9" s="19" t="s">
        <v>22</v>
      </c>
      <c r="G9" s="15" t="s">
        <v>21</v>
      </c>
      <c r="H9" s="20">
        <f>IFERROR(IF($F9="","",IF(AND(SUMIFS($D$6:$D$505,$C$6:$C$505,"Fidelity MSCI World Index")&gt;0,SUMIFS($D$6:$D$505,$C$6:$C$505,"Fidelity MSCI World Index")-SUMIFS($D$6:$D$505,$B$6:$B$505,"Fidelity MSCI World Index")&lt;=0),"",SUMIFS($D$6:$D$505,$C$6:$C$505,"Fidelity MSCI World Index")-SUMIFS($D$6:$D$505,$B$6:$B$505,"Fidelity MSCI World Index"))),"")</f>
      </c>
      <c r="I9" s="21"/>
      <c r="J9" s="20">
        <f>IFERROR(IF($F9="","",IF(AND(SUMIFS($D$6:$D$505,$C$6:$C$505,"Fidelity MSCI World Index")&gt;0,SUMIFS($D$6:$D$505,$C$6:$C$505,"Fidelity MSCI World Index")-SUMIFS($D$6:$D$505,$B$6:$B$505,"Fidelity MSCI World Index")&lt;=0),"",IF(OR($H9="",$K9=""),"",$K9-$H9))),"")</f>
      </c>
      <c r="K9" s="20">
        <f>IFERROR(IF($F9="","",IF(AND(SUMIFS($D$6:$D$505,$C$6:$C$505,"Fidelity MSCI World Index")&gt;0,SUMIFS($D$6:$D$505,$C$6:$C$505,"Fidelity MSCI World Index")-SUMIFS($D$6:$D$505,$B$6:$B$505,"Fidelity MSCI World Index")&lt;=0),"",IF(OR($H9="",$H9=0),"",IF($I9="",$H9,$H9*(1+$I9))))),"")</f>
      </c>
    </row>
    <row r="10" spans="1:11" x14ac:dyDescent="0.25">
      <c r="A10" s="9">
        <v>46298</v>
      </c>
      <c r="B10" s="10" t="s">
        <v>18</v>
      </c>
      <c r="C10" s="10" t="s">
        <v>24</v>
      </c>
      <c r="D10" s="11">
        <v>400</v>
      </c>
      <c r="F10" s="19" t="s">
        <v>23</v>
      </c>
      <c r="G10" s="15" t="s">
        <v>21</v>
      </c>
      <c r="H10" s="20">
        <f>IFERROR(IF($F10="","",IF(AND(SUMIFS($D$6:$D$505,$C$6:$C$505,"Cartera indexada Metal")&gt;0,SUMIFS($D$6:$D$505,$C$6:$C$505,"Cartera indexada Metal")-SUMIFS($D$6:$D$505,$B$6:$B$505,"Cartera indexada Metal")&lt;=0),"",SUMIFS($D$6:$D$505,$C$6:$C$505,"Cartera indexada Metal")-SUMIFS($D$6:$D$505,$B$6:$B$505,"Cartera indexada Metal"))),"")</f>
      </c>
      <c r="I10" s="21"/>
      <c r="J10" s="20">
        <f>IFERROR(IF($F10="","",IF(AND(SUMIFS($D$6:$D$505,$C$6:$C$505,"Cartera indexada Metal")&gt;0,SUMIFS($D$6:$D$505,$C$6:$C$505,"Cartera indexada Metal")-SUMIFS($D$6:$D$505,$B$6:$B$505,"Cartera indexada Metal")&lt;=0),"",IF(OR($H10="",$K10=""),"",$K10-$H10))),"")</f>
      </c>
      <c r="K10" s="20">
        <f>IFERROR(IF($F10="","",IF(AND(SUMIFS($D$6:$D$505,$C$6:$C$505,"Cartera indexada Metal")&gt;0,SUMIFS($D$6:$D$505,$C$6:$C$505,"Cartera indexada Metal")-SUMIFS($D$6:$D$505,$B$6:$B$505,"Cartera indexada Metal")&lt;=0),"",IF(OR($H10="",$H10=0),"",IF($I10="",$H10,$H10*(1+$I10))))),"")</f>
      </c>
    </row>
    <row r="11" spans="1:11" x14ac:dyDescent="0.25">
      <c r="A11" s="9">
        <v>46300</v>
      </c>
      <c r="B11" s="10" t="s">
        <v>18</v>
      </c>
      <c r="C11" s="10" t="s">
        <v>25</v>
      </c>
      <c r="D11" s="11">
        <v>150</v>
      </c>
      <c r="F11" s="22" t="s">
        <v>24</v>
      </c>
      <c r="G11" s="15" t="s">
        <v>26</v>
      </c>
      <c r="H11" s="23">
        <f>IFERROR(IF($F11="","",IF(AND(SUMIFS($D$6:$D$505,$C$6:$C$505,"Fondo indexado")&gt;0,SUMIFS($D$6:$D$505,$C$6:$C$505,"Fondo indexado")-SUMIFS($D$6:$D$505,$B$6:$B$505,"Fondo indexado")&lt;=0),"",SUMIFS($D$6:$D$505,$C$6:$C$505,"Fondo indexado")-SUMIFS($D$6:$D$505,$B$6:$B$505,"Fondo indexado"))),"")</f>
      </c>
      <c r="I11" s="24"/>
      <c r="J11" s="23">
        <f>IFERROR(IF($F11="","",IF(AND(SUMIFS($D$6:$D$505,$C$6:$C$505,"Fondo indexado")&gt;0,SUMIFS($D$6:$D$505,$C$6:$C$505,"Fondo indexado")-SUMIFS($D$6:$D$505,$B$6:$B$505,"Fondo indexado")&lt;=0),"",IF(OR($H11="",$K11=""),"",$K11-$H11))),"")</f>
      </c>
      <c r="K11" s="23">
        <f>IFERROR(IF($F11="","",IF(AND(SUMIFS($D$6:$D$505,$C$6:$C$505,"Fondo indexado")&gt;0,SUMIFS($D$6:$D$505,$C$6:$C$505,"Fondo indexado")-SUMIFS($D$6:$D$505,$B$6:$B$505,"Fondo indexado")&lt;=0),"",IF(OR($H11="",$H11=0),"",IF($I11="",$H11,$H11*(1+$I11))))),"")</f>
      </c>
    </row>
    <row r="12" spans="1:11" x14ac:dyDescent="0.25">
      <c r="A12" s="9">
        <v>46317</v>
      </c>
      <c r="B12" s="10"/>
      <c r="C12" s="10"/>
      <c r="D12" s="11"/>
      <c r="F12" s="22" t="s">
        <v>25</v>
      </c>
      <c r="G12" s="15" t="s">
        <v>26</v>
      </c>
      <c r="H12" s="23">
        <f>IFERROR(IF($F12="","",IF(AND(SUMIFS($D$6:$D$505,$C$6:$C$505,"iShares Developed World Index")&gt;0,SUMIFS($D$6:$D$505,$C$6:$C$505,"iShares Developed World Index")-SUMIFS($D$6:$D$505,$B$6:$B$505,"iShares Developed World Index")&lt;=0),"",SUMIFS($D$6:$D$505,$C$6:$C$505,"iShares Developed World Index")-SUMIFS($D$6:$D$505,$B$6:$B$505,"iShares Developed World Index"))),"")</f>
      </c>
      <c r="I12" s="24"/>
      <c r="J12" s="23">
        <f>IFERROR(IF($F12="","",IF(AND(SUMIFS($D$6:$D$505,$C$6:$C$505,"iShares Developed World Index")&gt;0,SUMIFS($D$6:$D$505,$C$6:$C$505,"iShares Developed World Index")-SUMIFS($D$6:$D$505,$B$6:$B$505,"iShares Developed World Index")&lt;=0),"",IF(OR($H12="",$K12=""),"",$K12-$H12))),"")</f>
      </c>
      <c r="K12" s="23">
        <f>IFERROR(IF($F12="","",IF(AND(SUMIFS($D$6:$D$505,$C$6:$C$505,"iShares Developed World Index")&gt;0,SUMIFS($D$6:$D$505,$C$6:$C$505,"iShares Developed World Index")-SUMIFS($D$6:$D$505,$B$6:$B$505,"iShares Developed World Index")&lt;=0),"",IF(OR($H12="",$H12=0),"",IF($I12="",$H12,$H12*(1+$I12))))),"")</f>
      </c>
    </row>
    <row r="13" spans="1:11" x14ac:dyDescent="0.25">
      <c r="A13" s="9">
        <v>46317</v>
      </c>
      <c r="B13" s="10"/>
      <c r="C13" s="10"/>
      <c r="D13" s="11"/>
      <c r="F13" s="25"/>
      <c r="G13" s="26"/>
      <c r="H13" s="27">
        <f>IFERROR(IF($F13="","",IF(AND(SUMIFS($D$6:$D$505,$C$6:$C$505,$F13)&gt;0,SUMIFS($D$6:$D$505,$C$6:$C$505,$F13)-SUMIFS($D$6:$D$505,$B$6:$B$505,$F13)&lt;=0),"",SUMIFS($D$6:$D$505,$C$6:$C$505,$F13)-SUMIFS($D$6:$D$505,$B$6:$B$505,$F13))),"")</f>
      </c>
      <c r="I13" s="28"/>
      <c r="J13" s="27">
        <f>IFERROR(IF($F13="","",IF(AND(SUMIFS($D$6:$D$505,$C$6:$C$505,$F13)&gt;0,SUMIFS($D$6:$D$505,$C$6:$C$505,$F13)-SUMIFS($D$6:$D$505,$B$6:$B$505,$F13)&lt;=0),"",IF(OR($H13="",$K13=""),"",$K13-$H13))),"")</f>
      </c>
      <c r="K13" s="27">
        <f>IFERROR(IF($F13="","",IF(AND(SUMIFS($D$6:$D$505,$C$6:$C$505,$F13)&gt;0,SUMIFS($D$6:$D$505,$C$6:$C$505,$F13)-SUMIFS($D$6:$D$505,$B$6:$B$505,$F13)&lt;=0),"",IF(OR($H13="",$H13=0),"",IF($I13="",$H13,$H13*(1+$I13))))),"")</f>
      </c>
    </row>
    <row r="14" spans="1:11" x14ac:dyDescent="0.25">
      <c r="A14" s="9">
        <v>46317</v>
      </c>
      <c r="B14" s="10"/>
      <c r="C14" s="10"/>
      <c r="D14" s="11"/>
      <c r="F14" s="25"/>
      <c r="G14" s="26"/>
      <c r="H14" s="27">
        <f>IFERROR(IF($F14="","",IF(AND(SUMIFS($D$6:$D$505,$C$6:$C$505,$F14)&gt;0,SUMIFS($D$6:$D$505,$C$6:$C$505,$F14)-SUMIFS($D$6:$D$505,$B$6:$B$505,$F14)&lt;=0),"",SUMIFS($D$6:$D$505,$C$6:$C$505,$F14)-SUMIFS($D$6:$D$505,$B$6:$B$505,$F14))),"")</f>
      </c>
      <c r="I14" s="28"/>
      <c r="J14" s="27">
        <f>IFERROR(IF($F14="","",IF(AND(SUMIFS($D$6:$D$505,$C$6:$C$505,$F14)&gt;0,SUMIFS($D$6:$D$505,$C$6:$C$505,$F14)-SUMIFS($D$6:$D$505,$B$6:$B$505,$F14)&lt;=0),"",IF(OR($H14="",$K14=""),"",$K14-$H14))),"")</f>
      </c>
      <c r="K14" s="27">
        <f>IFERROR(IF($F14="","",IF(AND(SUMIFS($D$6:$D$505,$C$6:$C$505,$F14)&gt;0,SUMIFS($D$6:$D$505,$C$6:$C$505,$F14)-SUMIFS($D$6:$D$505,$B$6:$B$505,$F14)&lt;=0),"",IF(OR($H14="",$H14=0),"",IF($I14="",$H14,$H14*(1+$I14))))),"")</f>
      </c>
    </row>
    <row r="15" spans="1:11" x14ac:dyDescent="0.25">
      <c r="A15" s="9">
        <v>46317</v>
      </c>
      <c r="B15" s="10"/>
      <c r="C15" s="10"/>
      <c r="D15" s="11"/>
      <c r="F15" s="25"/>
      <c r="G15" s="26"/>
      <c r="H15" s="27">
        <f>IFERROR(IF($F15="","",IF(AND(SUMIFS($D$6:$D$505,$C$6:$C$505,$F15)&gt;0,SUMIFS($D$6:$D$505,$C$6:$C$505,$F15)-SUMIFS($D$6:$D$505,$B$6:$B$505,$F15)&lt;=0),"",SUMIFS($D$6:$D$505,$C$6:$C$505,$F15)-SUMIFS($D$6:$D$505,$B$6:$B$505,$F15))),"")</f>
      </c>
      <c r="I15" s="28"/>
      <c r="J15" s="27">
        <f>IFERROR(IF($F15="","",IF(AND(SUMIFS($D$6:$D$505,$C$6:$C$505,$F15)&gt;0,SUMIFS($D$6:$D$505,$C$6:$C$505,$F15)-SUMIFS($D$6:$D$505,$B$6:$B$505,$F15)&lt;=0),"",IF(OR($H15="",$K15=""),"",$K15-$H15))),"")</f>
      </c>
      <c r="K15" s="27">
        <f>IFERROR(IF($F15="","",IF(AND(SUMIFS($D$6:$D$505,$C$6:$C$505,$F15)&gt;0,SUMIFS($D$6:$D$505,$C$6:$C$505,$F15)-SUMIFS($D$6:$D$505,$B$6:$B$505,$F15)&lt;=0),"",IF(OR($H15="",$H15=0),"",IF($I15="",$H15,$H15*(1+$I15))))),"")</f>
      </c>
    </row>
    <row r="16" spans="1:11" x14ac:dyDescent="0.25">
      <c r="A16" s="9">
        <v>46317</v>
      </c>
      <c r="B16" s="10"/>
      <c r="C16" s="10"/>
      <c r="D16" s="11"/>
      <c r="F16" s="25"/>
      <c r="G16" s="26"/>
      <c r="H16" s="27">
        <f>IFERROR(IF($F16="","",IF(AND(SUMIFS($D$6:$D$505,$C$6:$C$505,$F16)&gt;0,SUMIFS($D$6:$D$505,$C$6:$C$505,$F16)-SUMIFS($D$6:$D$505,$B$6:$B$505,$F16)&lt;=0),"",SUMIFS($D$6:$D$505,$C$6:$C$505,$F16)-SUMIFS($D$6:$D$505,$B$6:$B$505,$F16))),"")</f>
      </c>
      <c r="I16" s="28"/>
      <c r="J16" s="27">
        <f>IFERROR(IF($F16="","",IF(AND(SUMIFS($D$6:$D$505,$C$6:$C$505,$F16)&gt;0,SUMIFS($D$6:$D$505,$C$6:$C$505,$F16)-SUMIFS($D$6:$D$505,$B$6:$B$505,$F16)&lt;=0),"",IF(OR($H16="",$K16=""),"",$K16-$H16))),"")</f>
      </c>
      <c r="K16" s="27">
        <f>IFERROR(IF($F16="","",IF(AND(SUMIFS($D$6:$D$505,$C$6:$C$505,$F16)&gt;0,SUMIFS($D$6:$D$505,$C$6:$C$505,$F16)-SUMIFS($D$6:$D$505,$B$6:$B$505,$F16)&lt;=0),"",IF(OR($H16="",$H16=0),"",IF($I16="",$H16,$H16*(1+$I16))))),"")</f>
      </c>
    </row>
    <row r="17" spans="1:11" x14ac:dyDescent="0.25">
      <c r="A17" s="9">
        <v>46317</v>
      </c>
      <c r="B17" s="10"/>
      <c r="C17" s="10"/>
      <c r="D17" s="11"/>
      <c r="F17" s="25"/>
      <c r="G17" s="26"/>
      <c r="H17" s="27">
        <f>IFERROR(IF($F17="","",IF(AND(SUMIFS($D$6:$D$505,$C$6:$C$505,$F17)&gt;0,SUMIFS($D$6:$D$505,$C$6:$C$505,$F17)-SUMIFS($D$6:$D$505,$B$6:$B$505,$F17)&lt;=0),"",SUMIFS($D$6:$D$505,$C$6:$C$505,$F17)-SUMIFS($D$6:$D$505,$B$6:$B$505,$F17))),"")</f>
      </c>
      <c r="I17" s="28"/>
      <c r="J17" s="27">
        <f>IFERROR(IF($F17="","",IF(AND(SUMIFS($D$6:$D$505,$C$6:$C$505,$F17)&gt;0,SUMIFS($D$6:$D$505,$C$6:$C$505,$F17)-SUMIFS($D$6:$D$505,$B$6:$B$505,$F17)&lt;=0),"",IF(OR($H17="",$K17=""),"",$K17-$H17))),"")</f>
      </c>
      <c r="K17" s="27">
        <f>IFERROR(IF($F17="","",IF(AND(SUMIFS($D$6:$D$505,$C$6:$C$505,$F17)&gt;0,SUMIFS($D$6:$D$505,$C$6:$C$505,$F17)-SUMIFS($D$6:$D$505,$B$6:$B$505,$F17)&lt;=0),"",IF(OR($H17="",$H17=0),"",IF($I17="",$H17,$H17*(1+$I17))))),"")</f>
      </c>
    </row>
    <row r="18" spans="1:11" x14ac:dyDescent="0.25">
      <c r="A18" s="9">
        <v>46317</v>
      </c>
      <c r="B18" s="10"/>
      <c r="C18" s="10"/>
      <c r="D18" s="11"/>
      <c r="F18" s="25"/>
      <c r="G18" s="26"/>
      <c r="H18" s="27">
        <f>IFERROR(IF($F18="","",IF(AND(SUMIFS($D$6:$D$505,$C$6:$C$505,$F18)&gt;0,SUMIFS($D$6:$D$505,$C$6:$C$505,$F18)-SUMIFS($D$6:$D$505,$B$6:$B$505,$F18)&lt;=0),"",SUMIFS($D$6:$D$505,$C$6:$C$505,$F18)-SUMIFS($D$6:$D$505,$B$6:$B$505,$F18))),"")</f>
      </c>
      <c r="I18" s="28"/>
      <c r="J18" s="27">
        <f>IFERROR(IF($F18="","",IF(AND(SUMIFS($D$6:$D$505,$C$6:$C$505,$F18)&gt;0,SUMIFS($D$6:$D$505,$C$6:$C$505,$F18)-SUMIFS($D$6:$D$505,$B$6:$B$505,$F18)&lt;=0),"",IF(OR($H18="",$K18=""),"",$K18-$H18))),"")</f>
      </c>
      <c r="K18" s="27">
        <f>IFERROR(IF($F18="","",IF(AND(SUMIFS($D$6:$D$505,$C$6:$C$505,$F18)&gt;0,SUMIFS($D$6:$D$505,$C$6:$C$505,$F18)-SUMIFS($D$6:$D$505,$B$6:$B$505,$F18)&lt;=0),"",IF(OR($H18="",$H18=0),"",IF($I18="",$H18,$H18*(1+$I18))))),"")</f>
      </c>
    </row>
    <row r="19" spans="1:11" x14ac:dyDescent="0.25">
      <c r="A19" s="9">
        <v>46317</v>
      </c>
      <c r="B19" s="10"/>
      <c r="C19" s="10"/>
      <c r="D19" s="11"/>
      <c r="F19" s="25"/>
      <c r="G19" s="26"/>
      <c r="H19" s="27">
        <f>IFERROR(IF($F19="","",IF(AND(SUMIFS($D$6:$D$505,$C$6:$C$505,$F19)&gt;0,SUMIFS($D$6:$D$505,$C$6:$C$505,$F19)-SUMIFS($D$6:$D$505,$B$6:$B$505,$F19)&lt;=0),"",SUMIFS($D$6:$D$505,$C$6:$C$505,$F19)-SUMIFS($D$6:$D$505,$B$6:$B$505,$F19))),"")</f>
      </c>
      <c r="I19" s="28"/>
      <c r="J19" s="27">
        <f>IFERROR(IF($F19="","",IF(AND(SUMIFS($D$6:$D$505,$C$6:$C$505,$F19)&gt;0,SUMIFS($D$6:$D$505,$C$6:$C$505,$F19)-SUMIFS($D$6:$D$505,$B$6:$B$505,$F19)&lt;=0),"",IF(OR($H19="",$K19=""),"",$K19-$H19))),"")</f>
      </c>
      <c r="K19" s="27">
        <f>IFERROR(IF($F19="","",IF(AND(SUMIFS($D$6:$D$505,$C$6:$C$505,$F19)&gt;0,SUMIFS($D$6:$D$505,$C$6:$C$505,$F19)-SUMIFS($D$6:$D$505,$B$6:$B$505,$F19)&lt;=0),"",IF(OR($H19="",$H19=0),"",IF($I19="",$H19,$H19*(1+$I19))))),"")</f>
      </c>
    </row>
    <row r="20" spans="1:4" x14ac:dyDescent="0.25">
      <c r="A20" s="9">
        <v>46317</v>
      </c>
      <c r="B20" s="10"/>
      <c r="C20" s="10"/>
      <c r="D20" s="11"/>
    </row>
    <row r="21" spans="1:11" x14ac:dyDescent="0.25">
      <c r="A21" s="9">
        <v>46317</v>
      </c>
      <c r="B21" s="10"/>
      <c r="C21" s="10"/>
      <c r="D21" s="11"/>
      <c r="F21" s="29" t="s">
        <v>27</v>
      </c>
      <c r="G21" s="30" t="s">
        <v>21</v>
      </c>
      <c r="H21" s="31">
        <f>IFERROR(IF(SUMIFS($H$6:$H$19,$G$6:$G$19,"Marta")=0,"",SUMIFS($H$6:$H$19,$G$6:$G$19,"Marta")),"")</f>
      </c>
      <c r="I21" s="32">
        <f>IFERROR(IF($H21=0,"",$J21/$H21),"")</f>
      </c>
      <c r="J21" s="31">
        <f>IFERROR(IF(SUMIFS($J$6:$J$19,$G$6:$G$19,"Marta")=0,"",SUMIFS($J$6:$J$19,$G$6:$G$19,"Marta")),"")</f>
      </c>
      <c r="K21" s="31">
        <f>IFERROR(IF(SUMIFS($K$6:$K$19,$G$6:$G$19,"Marta")=0,"",SUMIFS($K$6:$K$19,$G$6:$G$19,"Marta")),"")</f>
      </c>
    </row>
    <row r="22" spans="1:11" x14ac:dyDescent="0.25">
      <c r="A22" s="9">
        <v>46317</v>
      </c>
      <c r="B22" s="10"/>
      <c r="C22" s="10"/>
      <c r="D22" s="11"/>
      <c r="F22" s="29" t="s">
        <v>28</v>
      </c>
      <c r="G22" s="30" t="s">
        <v>26</v>
      </c>
      <c r="H22" s="31">
        <f>IFERROR(IF(SUMIFS($H$6:$H$19,$G$6:$G$19,"Fondo ahorro")=0,"",SUMIFS($H$6:$H$19,$G$6:$G$19,"Fondo ahorro")),"")</f>
      </c>
      <c r="I22" s="32">
        <f>IFERROR(IF($H22=0,"",$J22/$H22),"")</f>
      </c>
      <c r="J22" s="31">
        <f>IFERROR(IF(SUMIFS($J$6:$J$19,$G$6:$G$19,"Fondo ahorro")=0,"",SUMIFS($J$6:$J$19,$G$6:$G$19,"Fondo ahorro")),"")</f>
      </c>
      <c r="K22" s="31">
        <f>IFERROR(IF(SUMIFS($K$6:$K$19,$G$6:$G$19,"Fondo ahorro")=0,"",SUMIFS($K$6:$K$19,$G$6:$G$19,"Fondo ahorro")),"")</f>
      </c>
    </row>
    <row r="23" ht="18" customHeight="1" spans="1:11" x14ac:dyDescent="0.25">
      <c r="A23" s="9">
        <v>46317</v>
      </c>
      <c r="B23" s="10"/>
      <c r="C23" s="10"/>
      <c r="D23" s="11"/>
      <c r="F23" s="33" t="s">
        <v>29</v>
      </c>
      <c r="G23" s="33"/>
      <c r="H23" s="34">
        <f>IFERROR(IF(SUM($H$6:$H$19)=0,"",SUM($H$6:$H$19)),"")</f>
      </c>
      <c r="I23" s="35">
        <f>IFERROR(IF($H23=0,"",$J23/$H23),"")</f>
      </c>
      <c r="J23" s="34">
        <f>IFERROR(IF(SUM($J$6:$J$19)=0,"",SUM($J$6:$J$19)),"")</f>
      </c>
      <c r="K23" s="34">
        <f>IFERROR(IF(SUM($K$6:$K$19)=0,"",SUM($K$6:$K$19)),"")</f>
      </c>
    </row>
    <row r="24" spans="1:4" x14ac:dyDescent="0.25">
      <c r="A24" s="9">
        <v>46317</v>
      </c>
      <c r="B24" s="10"/>
      <c r="C24" s="10"/>
      <c r="D24" s="11"/>
    </row>
    <row r="25" spans="1:11" x14ac:dyDescent="0.25">
      <c r="A25" s="36" t="s">
        <v>30</v>
      </c>
      <c r="B25" s="36"/>
      <c r="C25" s="36"/>
      <c r="D25" s="36"/>
      <c r="E25" s="36"/>
      <c r="F25" s="36"/>
      <c r="G25" s="36"/>
      <c r="H25" s="36"/>
      <c r="I25" s="36"/>
      <c r="J25" s="36"/>
      <c r="K25" s="36"/>
    </row>
    <row r="26" spans="1:11" x14ac:dyDescent="0.25">
      <c r="A26" s="36" t="s">
        <v>31</v>
      </c>
      <c r="B26" s="36"/>
      <c r="C26" s="36"/>
      <c r="D26" s="36"/>
      <c r="E26" s="36"/>
      <c r="F26" s="36"/>
      <c r="G26" s="36"/>
      <c r="H26" s="36"/>
      <c r="I26" s="36"/>
      <c r="J26" s="36"/>
      <c r="K26" s="36"/>
    </row>
    <row r="27" spans="1:4" x14ac:dyDescent="0.25">
      <c r="A27" s="9">
        <v>46317</v>
      </c>
      <c r="B27" s="10"/>
      <c r="C27" s="10"/>
      <c r="D27" s="11"/>
    </row>
    <row r="28" spans="1:4" x14ac:dyDescent="0.25">
      <c r="A28" s="9">
        <v>46317</v>
      </c>
      <c r="B28" s="10"/>
      <c r="C28" s="10"/>
      <c r="D28" s="11"/>
    </row>
    <row r="29" spans="1:4" x14ac:dyDescent="0.25">
      <c r="A29" s="9">
        <v>46317</v>
      </c>
      <c r="B29" s="10"/>
      <c r="C29" s="10"/>
      <c r="D29" s="11"/>
    </row>
    <row r="30" spans="1:4" x14ac:dyDescent="0.25">
      <c r="A30" s="9">
        <v>46317</v>
      </c>
      <c r="B30" s="10"/>
      <c r="C30" s="10"/>
      <c r="D30" s="11"/>
    </row>
    <row r="31" spans="1:4" x14ac:dyDescent="0.25">
      <c r="A31" s="9">
        <v>46317</v>
      </c>
      <c r="B31" s="10"/>
      <c r="C31" s="10"/>
      <c r="D31" s="11"/>
    </row>
    <row r="32" spans="1:4" x14ac:dyDescent="0.25">
      <c r="A32" s="9">
        <v>46317</v>
      </c>
      <c r="B32" s="10"/>
      <c r="C32" s="10"/>
      <c r="D32" s="11"/>
    </row>
    <row r="33" spans="1:4" x14ac:dyDescent="0.25">
      <c r="A33" s="9">
        <v>46317</v>
      </c>
      <c r="B33" s="10"/>
      <c r="C33" s="10"/>
      <c r="D33" s="11"/>
    </row>
    <row r="34" spans="1:4" x14ac:dyDescent="0.25">
      <c r="A34" s="9">
        <v>46317</v>
      </c>
      <c r="B34" s="10"/>
      <c r="C34" s="10"/>
      <c r="D34" s="11"/>
    </row>
    <row r="35" spans="1:4" x14ac:dyDescent="0.25">
      <c r="A35" s="9">
        <v>46317</v>
      </c>
      <c r="B35" s="10"/>
      <c r="C35" s="10"/>
      <c r="D35" s="11"/>
    </row>
    <row r="36" spans="1:4" x14ac:dyDescent="0.25">
      <c r="A36" s="9">
        <v>46317</v>
      </c>
      <c r="B36" s="10"/>
      <c r="C36" s="10"/>
      <c r="D36" s="11"/>
    </row>
    <row r="37" spans="1:4" x14ac:dyDescent="0.25">
      <c r="A37" s="9">
        <v>46317</v>
      </c>
      <c r="B37" s="10"/>
      <c r="C37" s="10"/>
      <c r="D37" s="11"/>
    </row>
    <row r="38" spans="1:4" x14ac:dyDescent="0.25">
      <c r="A38" s="9">
        <v>46317</v>
      </c>
      <c r="B38" s="10"/>
      <c r="C38" s="10"/>
      <c r="D38" s="11"/>
    </row>
    <row r="39" spans="1:4" x14ac:dyDescent="0.25">
      <c r="A39" s="9">
        <v>46317</v>
      </c>
      <c r="B39" s="10"/>
      <c r="C39" s="10"/>
      <c r="D39" s="11"/>
    </row>
    <row r="40" spans="1:4" x14ac:dyDescent="0.25">
      <c r="A40" s="9">
        <v>46317</v>
      </c>
      <c r="B40" s="10"/>
      <c r="C40" s="10"/>
      <c r="D40" s="11"/>
    </row>
    <row r="41" spans="1:4" x14ac:dyDescent="0.25">
      <c r="A41" s="9">
        <v>46317</v>
      </c>
      <c r="B41" s="10"/>
      <c r="C41" s="10"/>
      <c r="D41" s="11"/>
    </row>
    <row r="42" spans="1:4" x14ac:dyDescent="0.25">
      <c r="A42" s="9">
        <v>46317</v>
      </c>
      <c r="B42" s="10"/>
      <c r="C42" s="10"/>
      <c r="D42" s="11"/>
    </row>
    <row r="43" spans="1:4" x14ac:dyDescent="0.25">
      <c r="A43" s="9">
        <v>46317</v>
      </c>
      <c r="B43" s="10"/>
      <c r="C43" s="10"/>
      <c r="D43" s="11"/>
    </row>
    <row r="44" spans="1:4" x14ac:dyDescent="0.25">
      <c r="A44" s="9">
        <v>46317</v>
      </c>
      <c r="B44" s="10"/>
      <c r="C44" s="10"/>
      <c r="D44" s="11"/>
    </row>
    <row r="45" spans="1:4" x14ac:dyDescent="0.25">
      <c r="A45" s="9">
        <v>46317</v>
      </c>
      <c r="B45" s="10"/>
      <c r="C45" s="10"/>
      <c r="D45" s="11"/>
    </row>
    <row r="46" spans="1:4" x14ac:dyDescent="0.25">
      <c r="A46" s="9">
        <v>46317</v>
      </c>
      <c r="B46" s="10"/>
      <c r="C46" s="10"/>
      <c r="D46" s="11"/>
    </row>
    <row r="47" spans="1:4" x14ac:dyDescent="0.25">
      <c r="A47" s="9">
        <v>46317</v>
      </c>
      <c r="B47" s="10"/>
      <c r="C47" s="10"/>
      <c r="D47" s="11"/>
    </row>
    <row r="48" spans="1:4" x14ac:dyDescent="0.25">
      <c r="A48" s="9">
        <v>46317</v>
      </c>
      <c r="B48" s="10"/>
      <c r="C48" s="10"/>
      <c r="D48" s="11"/>
    </row>
    <row r="49" spans="1:4" x14ac:dyDescent="0.25">
      <c r="A49" s="9">
        <v>46317</v>
      </c>
      <c r="B49" s="10"/>
      <c r="C49" s="10"/>
      <c r="D49" s="11"/>
    </row>
    <row r="50" spans="1:4" x14ac:dyDescent="0.25">
      <c r="A50" s="9">
        <v>46317</v>
      </c>
      <c r="B50" s="10"/>
      <c r="C50" s="10"/>
      <c r="D50" s="11"/>
    </row>
    <row r="51" spans="1:4" x14ac:dyDescent="0.25">
      <c r="A51" s="9">
        <v>46317</v>
      </c>
      <c r="B51" s="10"/>
      <c r="C51" s="10"/>
      <c r="D51" s="11"/>
    </row>
    <row r="52" spans="1:4" x14ac:dyDescent="0.25">
      <c r="A52" s="9">
        <v>46317</v>
      </c>
      <c r="B52" s="10"/>
      <c r="C52" s="10"/>
      <c r="D52" s="11"/>
    </row>
    <row r="53" spans="1:4" x14ac:dyDescent="0.25">
      <c r="A53" s="9">
        <v>46317</v>
      </c>
      <c r="B53" s="10"/>
      <c r="C53" s="10"/>
      <c r="D53" s="11"/>
    </row>
    <row r="54" spans="1:4" x14ac:dyDescent="0.25">
      <c r="A54" s="9">
        <v>46317</v>
      </c>
      <c r="B54" s="10"/>
      <c r="C54" s="10"/>
      <c r="D54" s="11"/>
    </row>
    <row r="55" spans="1:4" x14ac:dyDescent="0.25">
      <c r="A55" s="9">
        <v>46317</v>
      </c>
      <c r="B55" s="10"/>
      <c r="C55" s="10"/>
      <c r="D55" s="11"/>
    </row>
    <row r="56" spans="1:4" x14ac:dyDescent="0.25">
      <c r="A56" s="9">
        <v>46317</v>
      </c>
      <c r="B56" s="10"/>
      <c r="C56" s="10"/>
      <c r="D56" s="11"/>
    </row>
    <row r="57" spans="1:4" x14ac:dyDescent="0.25">
      <c r="A57" s="9">
        <v>46317</v>
      </c>
      <c r="B57" s="10"/>
      <c r="C57" s="10"/>
      <c r="D57" s="11"/>
    </row>
    <row r="58" spans="1:4" x14ac:dyDescent="0.25">
      <c r="A58" s="9">
        <v>46317</v>
      </c>
      <c r="B58" s="10"/>
      <c r="C58" s="10"/>
      <c r="D58" s="11"/>
    </row>
    <row r="59" spans="1:4" x14ac:dyDescent="0.25">
      <c r="A59" s="9">
        <v>46317</v>
      </c>
      <c r="B59" s="10"/>
      <c r="C59" s="10"/>
      <c r="D59" s="11"/>
    </row>
    <row r="60" spans="1:4" x14ac:dyDescent="0.25">
      <c r="A60" s="9">
        <v>46317</v>
      </c>
      <c r="B60" s="10"/>
      <c r="C60" s="10"/>
      <c r="D60" s="11"/>
    </row>
    <row r="61" spans="1:4" x14ac:dyDescent="0.25">
      <c r="A61" s="9">
        <v>46317</v>
      </c>
      <c r="B61" s="10"/>
      <c r="C61" s="10"/>
      <c r="D61" s="11"/>
    </row>
    <row r="62" spans="1:4" x14ac:dyDescent="0.25">
      <c r="A62" s="9">
        <v>46317</v>
      </c>
      <c r="B62" s="10"/>
      <c r="C62" s="10"/>
      <c r="D62" s="11"/>
    </row>
    <row r="63" spans="1:4" x14ac:dyDescent="0.25">
      <c r="A63" s="9">
        <v>46317</v>
      </c>
      <c r="B63" s="10"/>
      <c r="C63" s="10"/>
      <c r="D63" s="11"/>
    </row>
    <row r="64" spans="1:4" x14ac:dyDescent="0.25">
      <c r="A64" s="9">
        <v>46317</v>
      </c>
      <c r="B64" s="10"/>
      <c r="C64" s="10"/>
      <c r="D64" s="11"/>
    </row>
    <row r="65" spans="1:4" x14ac:dyDescent="0.25">
      <c r="A65" s="9">
        <v>46317</v>
      </c>
      <c r="B65" s="10"/>
      <c r="C65" s="10"/>
      <c r="D65" s="11"/>
    </row>
    <row r="66" spans="1:4" x14ac:dyDescent="0.25">
      <c r="A66" s="9">
        <v>46317</v>
      </c>
      <c r="B66" s="10"/>
      <c r="C66" s="10"/>
      <c r="D66" s="11"/>
    </row>
    <row r="67" spans="1:4" x14ac:dyDescent="0.25">
      <c r="A67" s="9">
        <v>46317</v>
      </c>
      <c r="B67" s="10"/>
      <c r="C67" s="10"/>
      <c r="D67" s="11"/>
    </row>
    <row r="68" spans="1:4" x14ac:dyDescent="0.25">
      <c r="A68" s="9">
        <v>46317</v>
      </c>
      <c r="B68" s="10"/>
      <c r="C68" s="10"/>
      <c r="D68" s="11"/>
    </row>
    <row r="69" spans="1:4" x14ac:dyDescent="0.25">
      <c r="A69" s="9">
        <v>46317</v>
      </c>
      <c r="B69" s="10"/>
      <c r="C69" s="10"/>
      <c r="D69" s="11"/>
    </row>
    <row r="70" spans="1:4" x14ac:dyDescent="0.25">
      <c r="A70" s="9">
        <v>46317</v>
      </c>
      <c r="B70" s="10"/>
      <c r="C70" s="10"/>
      <c r="D70" s="11"/>
    </row>
    <row r="71" spans="1:4" x14ac:dyDescent="0.25">
      <c r="A71" s="9">
        <v>46317</v>
      </c>
      <c r="B71" s="10"/>
      <c r="C71" s="10"/>
      <c r="D71" s="11"/>
    </row>
    <row r="72" spans="1:4" x14ac:dyDescent="0.25">
      <c r="A72" s="9">
        <v>46317</v>
      </c>
      <c r="B72" s="10"/>
      <c r="C72" s="10"/>
      <c r="D72" s="11"/>
    </row>
    <row r="73" spans="1:4" x14ac:dyDescent="0.25">
      <c r="A73" s="9">
        <v>46317</v>
      </c>
      <c r="B73" s="10"/>
      <c r="C73" s="10"/>
      <c r="D73" s="11"/>
    </row>
    <row r="74" spans="1:4" x14ac:dyDescent="0.25">
      <c r="A74" s="9">
        <v>46317</v>
      </c>
      <c r="B74" s="10"/>
      <c r="C74" s="10"/>
      <c r="D74" s="11"/>
    </row>
    <row r="75" spans="1:4" x14ac:dyDescent="0.25">
      <c r="A75" s="9">
        <v>46317</v>
      </c>
      <c r="B75" s="10"/>
      <c r="C75" s="10"/>
      <c r="D75" s="11"/>
    </row>
    <row r="76" spans="1:4" x14ac:dyDescent="0.25">
      <c r="A76" s="9">
        <v>46317</v>
      </c>
      <c r="B76" s="10"/>
      <c r="C76" s="10"/>
      <c r="D76" s="11"/>
    </row>
    <row r="77" spans="1:4" x14ac:dyDescent="0.25">
      <c r="A77" s="9">
        <v>46317</v>
      </c>
      <c r="B77" s="10"/>
      <c r="C77" s="10"/>
      <c r="D77" s="11"/>
    </row>
    <row r="78" spans="1:4" x14ac:dyDescent="0.25">
      <c r="A78" s="9">
        <v>46317</v>
      </c>
      <c r="B78" s="10"/>
      <c r="C78" s="10"/>
      <c r="D78" s="11"/>
    </row>
    <row r="79" spans="1:4" x14ac:dyDescent="0.25">
      <c r="A79" s="9">
        <v>46317</v>
      </c>
      <c r="B79" s="10"/>
      <c r="C79" s="10"/>
      <c r="D79" s="11"/>
    </row>
    <row r="80" spans="1:4" x14ac:dyDescent="0.25">
      <c r="A80" s="9">
        <v>46317</v>
      </c>
      <c r="B80" s="10"/>
      <c r="C80" s="10"/>
      <c r="D80" s="11"/>
    </row>
    <row r="81" spans="1:4" x14ac:dyDescent="0.25">
      <c r="A81" s="9">
        <v>46317</v>
      </c>
      <c r="B81" s="10"/>
      <c r="C81" s="10"/>
      <c r="D81" s="11"/>
    </row>
    <row r="82" spans="1:4" x14ac:dyDescent="0.25">
      <c r="A82" s="9">
        <v>46317</v>
      </c>
      <c r="B82" s="10"/>
      <c r="C82" s="10"/>
      <c r="D82" s="11"/>
    </row>
    <row r="83" spans="1:4" x14ac:dyDescent="0.25">
      <c r="A83" s="9">
        <v>46317</v>
      </c>
      <c r="B83" s="10"/>
      <c r="C83" s="10"/>
      <c r="D83" s="11"/>
    </row>
    <row r="84" spans="1:4" x14ac:dyDescent="0.25">
      <c r="A84" s="9">
        <v>46317</v>
      </c>
      <c r="B84" s="10"/>
      <c r="C84" s="10"/>
      <c r="D84" s="11"/>
    </row>
    <row r="85" spans="1:4" x14ac:dyDescent="0.25">
      <c r="A85" s="9">
        <v>46317</v>
      </c>
      <c r="B85" s="10"/>
      <c r="C85" s="10"/>
      <c r="D85" s="11"/>
    </row>
    <row r="86" spans="1:4" x14ac:dyDescent="0.25">
      <c r="A86" s="9">
        <v>46317</v>
      </c>
      <c r="B86" s="10"/>
      <c r="C86" s="10"/>
      <c r="D86" s="11"/>
    </row>
    <row r="87" spans="1:4" x14ac:dyDescent="0.25">
      <c r="A87" s="9">
        <v>46317</v>
      </c>
      <c r="B87" s="10"/>
      <c r="C87" s="10"/>
      <c r="D87" s="11"/>
    </row>
    <row r="88" spans="1:4" x14ac:dyDescent="0.25">
      <c r="A88" s="9">
        <v>46317</v>
      </c>
      <c r="B88" s="10"/>
      <c r="C88" s="10"/>
      <c r="D88" s="11"/>
    </row>
    <row r="89" spans="1:4" x14ac:dyDescent="0.25">
      <c r="A89" s="9">
        <v>46317</v>
      </c>
      <c r="B89" s="10"/>
      <c r="C89" s="10"/>
      <c r="D89" s="11"/>
    </row>
    <row r="90" spans="1:4" x14ac:dyDescent="0.25">
      <c r="A90" s="9">
        <v>46317</v>
      </c>
      <c r="B90" s="10"/>
      <c r="C90" s="10"/>
      <c r="D90" s="11"/>
    </row>
    <row r="91" spans="1:4" x14ac:dyDescent="0.25">
      <c r="A91" s="9">
        <v>46317</v>
      </c>
      <c r="B91" s="10"/>
      <c r="C91" s="10"/>
      <c r="D91" s="11"/>
    </row>
    <row r="92" spans="1:4" x14ac:dyDescent="0.25">
      <c r="A92" s="9">
        <v>46317</v>
      </c>
      <c r="B92" s="10"/>
      <c r="C92" s="10"/>
      <c r="D92" s="11"/>
    </row>
    <row r="93" spans="1:4" x14ac:dyDescent="0.25">
      <c r="A93" s="9">
        <v>46317</v>
      </c>
      <c r="B93" s="10"/>
      <c r="C93" s="10"/>
      <c r="D93" s="11"/>
    </row>
    <row r="94" spans="1:4" x14ac:dyDescent="0.25">
      <c r="A94" s="9">
        <v>46317</v>
      </c>
      <c r="B94" s="10"/>
      <c r="C94" s="10"/>
      <c r="D94" s="11"/>
    </row>
    <row r="95" spans="1:4" x14ac:dyDescent="0.25">
      <c r="A95" s="9">
        <v>46317</v>
      </c>
      <c r="B95" s="10"/>
      <c r="C95" s="10"/>
      <c r="D95" s="11"/>
    </row>
    <row r="96" spans="1:4" x14ac:dyDescent="0.25">
      <c r="A96" s="9">
        <v>46317</v>
      </c>
      <c r="B96" s="10"/>
      <c r="C96" s="10"/>
      <c r="D96" s="11"/>
    </row>
    <row r="97" spans="1:4" x14ac:dyDescent="0.25">
      <c r="A97" s="9">
        <v>46317</v>
      </c>
      <c r="B97" s="10"/>
      <c r="C97" s="10"/>
      <c r="D97" s="11"/>
    </row>
    <row r="98" spans="1:4" x14ac:dyDescent="0.25">
      <c r="A98" s="9">
        <v>46317</v>
      </c>
      <c r="B98" s="10"/>
      <c r="C98" s="10"/>
      <c r="D98" s="11"/>
    </row>
    <row r="99" spans="1:4" x14ac:dyDescent="0.25">
      <c r="A99" s="9">
        <v>46317</v>
      </c>
      <c r="B99" s="10"/>
      <c r="C99" s="10"/>
      <c r="D99" s="11"/>
    </row>
    <row r="100" spans="1:4" x14ac:dyDescent="0.25">
      <c r="A100" s="9">
        <v>46317</v>
      </c>
      <c r="B100" s="10"/>
      <c r="C100" s="10"/>
      <c r="D100" s="11"/>
    </row>
    <row r="101" spans="1:4" x14ac:dyDescent="0.25">
      <c r="A101" s="9">
        <v>46317</v>
      </c>
      <c r="B101" s="10"/>
      <c r="C101" s="10"/>
      <c r="D101" s="11"/>
    </row>
    <row r="102" spans="1:4" x14ac:dyDescent="0.25">
      <c r="A102" s="9">
        <v>46317</v>
      </c>
      <c r="B102" s="10"/>
      <c r="C102" s="10"/>
      <c r="D102" s="11"/>
    </row>
    <row r="103" spans="1:4" x14ac:dyDescent="0.25">
      <c r="A103" s="9">
        <v>46317</v>
      </c>
      <c r="B103" s="10"/>
      <c r="C103" s="10"/>
      <c r="D103" s="11"/>
    </row>
    <row r="104" spans="1:4" x14ac:dyDescent="0.25">
      <c r="A104" s="9">
        <v>46317</v>
      </c>
      <c r="B104" s="10"/>
      <c r="C104" s="10"/>
      <c r="D104" s="11"/>
    </row>
    <row r="105" spans="1:4" x14ac:dyDescent="0.25">
      <c r="A105" s="9">
        <v>46317</v>
      </c>
      <c r="B105" s="10"/>
      <c r="C105" s="10"/>
      <c r="D105" s="11"/>
    </row>
    <row r="106" spans="1:4" x14ac:dyDescent="0.25">
      <c r="A106" s="9">
        <v>46317</v>
      </c>
      <c r="B106" s="10"/>
      <c r="C106" s="10"/>
      <c r="D106" s="11"/>
    </row>
    <row r="107" spans="1:4" x14ac:dyDescent="0.25">
      <c r="A107" s="9">
        <v>46317</v>
      </c>
      <c r="B107" s="10"/>
      <c r="C107" s="10"/>
      <c r="D107" s="11"/>
    </row>
    <row r="108" spans="1:4" x14ac:dyDescent="0.25">
      <c r="A108" s="9">
        <v>46317</v>
      </c>
      <c r="B108" s="10"/>
      <c r="C108" s="10"/>
      <c r="D108" s="11"/>
    </row>
    <row r="109" spans="1:4" x14ac:dyDescent="0.25">
      <c r="A109" s="9">
        <v>46317</v>
      </c>
      <c r="B109" s="10"/>
      <c r="C109" s="10"/>
      <c r="D109" s="11"/>
    </row>
    <row r="110" spans="1:4" x14ac:dyDescent="0.25">
      <c r="A110" s="9">
        <v>46317</v>
      </c>
      <c r="B110" s="10"/>
      <c r="C110" s="10"/>
      <c r="D110" s="11"/>
    </row>
    <row r="111" spans="1:4" x14ac:dyDescent="0.25">
      <c r="A111" s="9">
        <v>46317</v>
      </c>
      <c r="B111" s="10"/>
      <c r="C111" s="10"/>
      <c r="D111" s="11"/>
    </row>
    <row r="112" spans="1:4" x14ac:dyDescent="0.25">
      <c r="A112" s="9">
        <v>46317</v>
      </c>
      <c r="B112" s="10"/>
      <c r="C112" s="10"/>
      <c r="D112" s="11"/>
    </row>
    <row r="113" spans="1:4" x14ac:dyDescent="0.25">
      <c r="A113" s="9">
        <v>46317</v>
      </c>
      <c r="B113" s="10"/>
      <c r="C113" s="10"/>
      <c r="D113" s="11"/>
    </row>
    <row r="114" spans="1:4" x14ac:dyDescent="0.25">
      <c r="A114" s="9">
        <v>46317</v>
      </c>
      <c r="B114" s="10"/>
      <c r="C114" s="10"/>
      <c r="D114" s="11"/>
    </row>
    <row r="115" spans="1:4" x14ac:dyDescent="0.25">
      <c r="A115" s="9">
        <v>46317</v>
      </c>
      <c r="B115" s="10"/>
      <c r="C115" s="10"/>
      <c r="D115" s="11"/>
    </row>
    <row r="116" spans="1:4" x14ac:dyDescent="0.25">
      <c r="A116" s="9">
        <v>46317</v>
      </c>
      <c r="B116" s="10"/>
      <c r="C116" s="10"/>
      <c r="D116" s="11"/>
    </row>
    <row r="117" spans="1:4" x14ac:dyDescent="0.25">
      <c r="A117" s="9">
        <v>46317</v>
      </c>
      <c r="B117" s="10"/>
      <c r="C117" s="10"/>
      <c r="D117" s="11"/>
    </row>
    <row r="118" spans="1:4" x14ac:dyDescent="0.25">
      <c r="A118" s="9">
        <v>46317</v>
      </c>
      <c r="B118" s="10"/>
      <c r="C118" s="10"/>
      <c r="D118" s="11"/>
    </row>
    <row r="119" spans="1:4" x14ac:dyDescent="0.25">
      <c r="A119" s="9">
        <v>46317</v>
      </c>
      <c r="B119" s="10"/>
      <c r="C119" s="10"/>
      <c r="D119" s="11"/>
    </row>
    <row r="120" spans="1:4" x14ac:dyDescent="0.25">
      <c r="A120" s="9">
        <v>46317</v>
      </c>
      <c r="B120" s="10"/>
      <c r="C120" s="10"/>
      <c r="D120" s="11"/>
    </row>
    <row r="121" spans="1:4" x14ac:dyDescent="0.25">
      <c r="A121" s="9">
        <v>46317</v>
      </c>
      <c r="B121" s="10"/>
      <c r="C121" s="10"/>
      <c r="D121" s="11"/>
    </row>
    <row r="122" spans="1:4" x14ac:dyDescent="0.25">
      <c r="A122" s="9">
        <v>46317</v>
      </c>
      <c r="B122" s="10"/>
      <c r="C122" s="10"/>
      <c r="D122" s="11"/>
    </row>
    <row r="123" spans="1:4" x14ac:dyDescent="0.25">
      <c r="A123" s="9">
        <v>46317</v>
      </c>
      <c r="B123" s="10"/>
      <c r="C123" s="10"/>
      <c r="D123" s="11"/>
    </row>
    <row r="124" spans="1:4" x14ac:dyDescent="0.25">
      <c r="A124" s="9">
        <v>46317</v>
      </c>
      <c r="B124" s="10"/>
      <c r="C124" s="10"/>
      <c r="D124" s="11"/>
    </row>
    <row r="125" spans="1:4" x14ac:dyDescent="0.25">
      <c r="A125" s="9">
        <v>46317</v>
      </c>
      <c r="B125" s="10"/>
      <c r="C125" s="10"/>
      <c r="D125" s="11"/>
    </row>
    <row r="126" spans="1:4" x14ac:dyDescent="0.25">
      <c r="A126" s="9">
        <v>46317</v>
      </c>
      <c r="B126" s="10"/>
      <c r="C126" s="10"/>
      <c r="D126" s="11"/>
    </row>
    <row r="127" spans="1:4" x14ac:dyDescent="0.25">
      <c r="A127" s="9">
        <v>46317</v>
      </c>
      <c r="B127" s="10"/>
      <c r="C127" s="10"/>
      <c r="D127" s="11"/>
    </row>
    <row r="128" spans="1:4" x14ac:dyDescent="0.25">
      <c r="A128" s="9">
        <v>46317</v>
      </c>
      <c r="B128" s="10"/>
      <c r="C128" s="10"/>
      <c r="D128" s="11"/>
    </row>
    <row r="129" spans="1:4" x14ac:dyDescent="0.25">
      <c r="A129" s="9">
        <v>46317</v>
      </c>
      <c r="B129" s="10"/>
      <c r="C129" s="10"/>
      <c r="D129" s="11"/>
    </row>
    <row r="130" spans="1:4" x14ac:dyDescent="0.25">
      <c r="A130" s="9">
        <v>46317</v>
      </c>
      <c r="B130" s="10"/>
      <c r="C130" s="10"/>
      <c r="D130" s="11"/>
    </row>
    <row r="131" spans="1:4" x14ac:dyDescent="0.25">
      <c r="A131" s="9">
        <v>46317</v>
      </c>
      <c r="B131" s="10"/>
      <c r="C131" s="10"/>
      <c r="D131" s="11"/>
    </row>
    <row r="132" spans="1:4" x14ac:dyDescent="0.25">
      <c r="A132" s="9">
        <v>46317</v>
      </c>
      <c r="B132" s="10"/>
      <c r="C132" s="10"/>
      <c r="D132" s="11"/>
    </row>
    <row r="133" spans="1:4" x14ac:dyDescent="0.25">
      <c r="A133" s="9">
        <v>46317</v>
      </c>
      <c r="B133" s="10"/>
      <c r="C133" s="10"/>
      <c r="D133" s="11"/>
    </row>
    <row r="134" spans="1:4" x14ac:dyDescent="0.25">
      <c r="A134" s="9">
        <v>46317</v>
      </c>
      <c r="B134" s="10"/>
      <c r="C134" s="10"/>
      <c r="D134" s="11"/>
    </row>
    <row r="135" spans="1:4" x14ac:dyDescent="0.25">
      <c r="A135" s="9">
        <v>46317</v>
      </c>
      <c r="B135" s="10"/>
      <c r="C135" s="10"/>
      <c r="D135" s="11"/>
    </row>
    <row r="136" spans="1:4" x14ac:dyDescent="0.25">
      <c r="A136" s="9">
        <v>46317</v>
      </c>
      <c r="B136" s="10"/>
      <c r="C136" s="10"/>
      <c r="D136" s="11"/>
    </row>
    <row r="137" spans="1:4" x14ac:dyDescent="0.25">
      <c r="A137" s="9">
        <v>46317</v>
      </c>
      <c r="B137" s="10"/>
      <c r="C137" s="10"/>
      <c r="D137" s="11"/>
    </row>
    <row r="138" spans="1:4" x14ac:dyDescent="0.25">
      <c r="A138" s="9">
        <v>46317</v>
      </c>
      <c r="B138" s="10"/>
      <c r="C138" s="10"/>
      <c r="D138" s="11"/>
    </row>
    <row r="139" spans="1:4" x14ac:dyDescent="0.25">
      <c r="A139" s="9">
        <v>46317</v>
      </c>
      <c r="B139" s="10"/>
      <c r="C139" s="10"/>
      <c r="D139" s="11"/>
    </row>
    <row r="140" spans="1:4" x14ac:dyDescent="0.25">
      <c r="A140" s="9">
        <v>46317</v>
      </c>
      <c r="B140" s="10"/>
      <c r="C140" s="10"/>
      <c r="D140" s="11"/>
    </row>
    <row r="141" spans="1:4" x14ac:dyDescent="0.25">
      <c r="A141" s="9">
        <v>46317</v>
      </c>
      <c r="B141" s="10"/>
      <c r="C141" s="10"/>
      <c r="D141" s="11"/>
    </row>
    <row r="142" spans="1:4" x14ac:dyDescent="0.25">
      <c r="A142" s="9">
        <v>46317</v>
      </c>
      <c r="B142" s="10"/>
      <c r="C142" s="10"/>
      <c r="D142" s="11"/>
    </row>
    <row r="143" spans="1:4" x14ac:dyDescent="0.25">
      <c r="A143" s="9">
        <v>46317</v>
      </c>
      <c r="B143" s="10"/>
      <c r="C143" s="10"/>
      <c r="D143" s="11"/>
    </row>
    <row r="144" spans="1:4" x14ac:dyDescent="0.25">
      <c r="A144" s="9">
        <v>46317</v>
      </c>
      <c r="B144" s="10"/>
      <c r="C144" s="10"/>
      <c r="D144" s="11"/>
    </row>
    <row r="145" spans="1:4" x14ac:dyDescent="0.25">
      <c r="A145" s="9">
        <v>46317</v>
      </c>
      <c r="B145" s="10"/>
      <c r="C145" s="10"/>
      <c r="D145" s="11"/>
    </row>
    <row r="146" spans="1:4" x14ac:dyDescent="0.25">
      <c r="A146" s="9">
        <v>46317</v>
      </c>
      <c r="B146" s="10"/>
      <c r="C146" s="10"/>
      <c r="D146" s="11"/>
    </row>
    <row r="147" spans="1:4" x14ac:dyDescent="0.25">
      <c r="A147" s="9">
        <v>46317</v>
      </c>
      <c r="B147" s="10"/>
      <c r="C147" s="10"/>
      <c r="D147" s="11"/>
    </row>
    <row r="148" spans="1:4" x14ac:dyDescent="0.25">
      <c r="A148" s="9">
        <v>46317</v>
      </c>
      <c r="B148" s="10"/>
      <c r="C148" s="10"/>
      <c r="D148" s="11"/>
    </row>
    <row r="149" spans="1:4" x14ac:dyDescent="0.25">
      <c r="A149" s="9">
        <v>46317</v>
      </c>
      <c r="B149" s="10"/>
      <c r="C149" s="10"/>
      <c r="D149" s="11"/>
    </row>
    <row r="150" spans="1:4" x14ac:dyDescent="0.25">
      <c r="A150" s="9">
        <v>46317</v>
      </c>
      <c r="B150" s="10"/>
      <c r="C150" s="10"/>
      <c r="D150" s="11"/>
    </row>
    <row r="151" spans="1:4" x14ac:dyDescent="0.25">
      <c r="A151" s="9">
        <v>46317</v>
      </c>
      <c r="B151" s="10"/>
      <c r="C151" s="10"/>
      <c r="D151" s="11"/>
    </row>
    <row r="152" spans="1:4" x14ac:dyDescent="0.25">
      <c r="A152" s="9">
        <v>46317</v>
      </c>
      <c r="B152" s="10"/>
      <c r="C152" s="10"/>
      <c r="D152" s="11"/>
    </row>
    <row r="153" spans="1:4" x14ac:dyDescent="0.25">
      <c r="A153" s="9">
        <v>46317</v>
      </c>
      <c r="B153" s="10"/>
      <c r="C153" s="10"/>
      <c r="D153" s="11"/>
    </row>
    <row r="154" spans="1:4" x14ac:dyDescent="0.25">
      <c r="A154" s="9">
        <v>46317</v>
      </c>
      <c r="B154" s="10"/>
      <c r="C154" s="10"/>
      <c r="D154" s="11"/>
    </row>
    <row r="155" spans="1:4" x14ac:dyDescent="0.25">
      <c r="A155" s="9">
        <v>46317</v>
      </c>
      <c r="B155" s="10"/>
      <c r="C155" s="10"/>
      <c r="D155" s="11"/>
    </row>
    <row r="156" spans="1:4" x14ac:dyDescent="0.25">
      <c r="A156" s="9">
        <v>46317</v>
      </c>
      <c r="B156" s="10"/>
      <c r="C156" s="10"/>
      <c r="D156" s="11"/>
    </row>
    <row r="157" spans="1:4" x14ac:dyDescent="0.25">
      <c r="A157" s="9">
        <v>46317</v>
      </c>
      <c r="B157" s="10"/>
      <c r="C157" s="10"/>
      <c r="D157" s="11"/>
    </row>
    <row r="158" spans="1:4" x14ac:dyDescent="0.25">
      <c r="A158" s="9">
        <v>46317</v>
      </c>
      <c r="B158" s="10"/>
      <c r="C158" s="10"/>
      <c r="D158" s="11"/>
    </row>
    <row r="159" spans="1:4" x14ac:dyDescent="0.25">
      <c r="A159" s="9">
        <v>46317</v>
      </c>
      <c r="B159" s="10"/>
      <c r="C159" s="10"/>
      <c r="D159" s="11"/>
    </row>
    <row r="160" spans="1:4" x14ac:dyDescent="0.25">
      <c r="A160" s="9">
        <v>46317</v>
      </c>
      <c r="B160" s="10"/>
      <c r="C160" s="10"/>
      <c r="D160" s="11"/>
    </row>
    <row r="161" spans="1:4" x14ac:dyDescent="0.25">
      <c r="A161" s="9">
        <v>46317</v>
      </c>
      <c r="B161" s="10"/>
      <c r="C161" s="10"/>
      <c r="D161" s="11"/>
    </row>
    <row r="162" spans="1:4" x14ac:dyDescent="0.25">
      <c r="A162" s="9">
        <v>46317</v>
      </c>
      <c r="B162" s="10"/>
      <c r="C162" s="10"/>
      <c r="D162" s="11"/>
    </row>
    <row r="163" spans="1:4" x14ac:dyDescent="0.25">
      <c r="A163" s="9">
        <v>46317</v>
      </c>
      <c r="B163" s="10"/>
      <c r="C163" s="10"/>
      <c r="D163" s="11"/>
    </row>
    <row r="164" spans="1:4" x14ac:dyDescent="0.25">
      <c r="A164" s="9">
        <v>46317</v>
      </c>
      <c r="B164" s="10"/>
      <c r="C164" s="10"/>
      <c r="D164" s="11"/>
    </row>
    <row r="165" spans="1:4" x14ac:dyDescent="0.25">
      <c r="A165" s="9">
        <v>46317</v>
      </c>
      <c r="B165" s="10"/>
      <c r="C165" s="10"/>
      <c r="D165" s="11"/>
    </row>
    <row r="166" spans="1:4" x14ac:dyDescent="0.25">
      <c r="A166" s="9">
        <v>46317</v>
      </c>
      <c r="B166" s="10"/>
      <c r="C166" s="10"/>
      <c r="D166" s="11"/>
    </row>
    <row r="167" spans="1:4" x14ac:dyDescent="0.25">
      <c r="A167" s="9">
        <v>46317</v>
      </c>
      <c r="B167" s="10"/>
      <c r="C167" s="10"/>
      <c r="D167" s="11"/>
    </row>
    <row r="168" spans="1:4" x14ac:dyDescent="0.25">
      <c r="A168" s="9">
        <v>46317</v>
      </c>
      <c r="B168" s="10"/>
      <c r="C168" s="10"/>
      <c r="D168" s="11"/>
    </row>
    <row r="169" spans="1:4" x14ac:dyDescent="0.25">
      <c r="A169" s="9">
        <v>46317</v>
      </c>
      <c r="B169" s="10"/>
      <c r="C169" s="10"/>
      <c r="D169" s="11"/>
    </row>
    <row r="170" spans="1:4" x14ac:dyDescent="0.25">
      <c r="A170" s="9">
        <v>46317</v>
      </c>
      <c r="B170" s="10"/>
      <c r="C170" s="10"/>
      <c r="D170" s="11"/>
    </row>
    <row r="171" spans="1:4" x14ac:dyDescent="0.25">
      <c r="A171" s="9">
        <v>46317</v>
      </c>
      <c r="B171" s="10"/>
      <c r="C171" s="10"/>
      <c r="D171" s="11"/>
    </row>
    <row r="172" spans="1:4" x14ac:dyDescent="0.25">
      <c r="A172" s="9">
        <v>46317</v>
      </c>
      <c r="B172" s="10"/>
      <c r="C172" s="10"/>
      <c r="D172" s="11"/>
    </row>
    <row r="173" spans="1:4" x14ac:dyDescent="0.25">
      <c r="A173" s="9">
        <v>46317</v>
      </c>
      <c r="B173" s="10"/>
      <c r="C173" s="10"/>
      <c r="D173" s="11"/>
    </row>
    <row r="174" spans="1:4" x14ac:dyDescent="0.25">
      <c r="A174" s="9">
        <v>46317</v>
      </c>
      <c r="B174" s="10"/>
      <c r="C174" s="10"/>
      <c r="D174" s="11"/>
    </row>
    <row r="175" spans="1:4" x14ac:dyDescent="0.25">
      <c r="A175" s="9">
        <v>46317</v>
      </c>
      <c r="B175" s="10"/>
      <c r="C175" s="10"/>
      <c r="D175" s="11"/>
    </row>
    <row r="176" spans="1:4" x14ac:dyDescent="0.25">
      <c r="A176" s="9">
        <v>46317</v>
      </c>
      <c r="B176" s="10"/>
      <c r="C176" s="10"/>
      <c r="D176" s="11"/>
    </row>
    <row r="177" spans="1:4" x14ac:dyDescent="0.25">
      <c r="A177" s="9">
        <v>46317</v>
      </c>
      <c r="B177" s="10"/>
      <c r="C177" s="10"/>
      <c r="D177" s="11"/>
    </row>
    <row r="178" spans="1:4" x14ac:dyDescent="0.25">
      <c r="A178" s="9">
        <v>46317</v>
      </c>
      <c r="B178" s="10"/>
      <c r="C178" s="10"/>
      <c r="D178" s="11"/>
    </row>
    <row r="179" spans="1:4" x14ac:dyDescent="0.25">
      <c r="A179" s="9">
        <v>46317</v>
      </c>
      <c r="B179" s="10"/>
      <c r="C179" s="10"/>
      <c r="D179" s="11"/>
    </row>
    <row r="180" spans="1:4" x14ac:dyDescent="0.25">
      <c r="A180" s="9">
        <v>46317</v>
      </c>
      <c r="B180" s="10"/>
      <c r="C180" s="10"/>
      <c r="D180" s="11"/>
    </row>
    <row r="181" spans="1:4" x14ac:dyDescent="0.25">
      <c r="A181" s="9">
        <v>46317</v>
      </c>
      <c r="B181" s="10"/>
      <c r="C181" s="10"/>
      <c r="D181" s="11"/>
    </row>
    <row r="182" spans="1:4" x14ac:dyDescent="0.25">
      <c r="A182" s="9">
        <v>46317</v>
      </c>
      <c r="B182" s="10"/>
      <c r="C182" s="10"/>
      <c r="D182" s="11"/>
    </row>
    <row r="183" spans="1:4" x14ac:dyDescent="0.25">
      <c r="A183" s="9">
        <v>46317</v>
      </c>
      <c r="B183" s="10"/>
      <c r="C183" s="10"/>
      <c r="D183" s="11"/>
    </row>
    <row r="184" spans="1:4" x14ac:dyDescent="0.25">
      <c r="A184" s="9">
        <v>46317</v>
      </c>
      <c r="B184" s="10"/>
      <c r="C184" s="10"/>
      <c r="D184" s="11"/>
    </row>
    <row r="185" spans="1:4" x14ac:dyDescent="0.25">
      <c r="A185" s="9">
        <v>46317</v>
      </c>
      <c r="B185" s="10"/>
      <c r="C185" s="10"/>
      <c r="D185" s="11"/>
    </row>
    <row r="186" spans="1:4" x14ac:dyDescent="0.25">
      <c r="A186" s="9">
        <v>46317</v>
      </c>
      <c r="B186" s="10"/>
      <c r="C186" s="10"/>
      <c r="D186" s="11"/>
    </row>
    <row r="187" spans="1:4" x14ac:dyDescent="0.25">
      <c r="A187" s="9">
        <v>46317</v>
      </c>
      <c r="B187" s="10"/>
      <c r="C187" s="10"/>
      <c r="D187" s="11"/>
    </row>
    <row r="188" spans="1:4" x14ac:dyDescent="0.25">
      <c r="A188" s="9">
        <v>46317</v>
      </c>
      <c r="B188" s="10"/>
      <c r="C188" s="10"/>
      <c r="D188" s="11"/>
    </row>
    <row r="189" spans="1:4" x14ac:dyDescent="0.25">
      <c r="A189" s="9">
        <v>46317</v>
      </c>
      <c r="B189" s="10"/>
      <c r="C189" s="10"/>
      <c r="D189" s="11"/>
    </row>
    <row r="190" spans="1:4" x14ac:dyDescent="0.25">
      <c r="A190" s="9">
        <v>46317</v>
      </c>
      <c r="B190" s="10"/>
      <c r="C190" s="10"/>
      <c r="D190" s="11"/>
    </row>
    <row r="191" spans="1:4" x14ac:dyDescent="0.25">
      <c r="A191" s="9">
        <v>46317</v>
      </c>
      <c r="B191" s="10"/>
      <c r="C191" s="10"/>
      <c r="D191" s="11"/>
    </row>
    <row r="192" spans="1:4" x14ac:dyDescent="0.25">
      <c r="A192" s="9">
        <v>46317</v>
      </c>
      <c r="B192" s="10"/>
      <c r="C192" s="10"/>
      <c r="D192" s="11"/>
    </row>
    <row r="193" spans="1:4" x14ac:dyDescent="0.25">
      <c r="A193" s="9">
        <v>46317</v>
      </c>
      <c r="B193" s="10"/>
      <c r="C193" s="10"/>
      <c r="D193" s="11"/>
    </row>
    <row r="194" spans="1:4" x14ac:dyDescent="0.25">
      <c r="A194" s="9">
        <v>46317</v>
      </c>
      <c r="B194" s="10"/>
      <c r="C194" s="10"/>
      <c r="D194" s="11"/>
    </row>
    <row r="195" spans="1:4" x14ac:dyDescent="0.25">
      <c r="A195" s="9">
        <v>46317</v>
      </c>
      <c r="B195" s="10"/>
      <c r="C195" s="10"/>
      <c r="D195" s="11"/>
    </row>
    <row r="196" spans="1:4" x14ac:dyDescent="0.25">
      <c r="A196" s="9">
        <v>46317</v>
      </c>
      <c r="B196" s="10"/>
      <c r="C196" s="10"/>
      <c r="D196" s="11"/>
    </row>
    <row r="197" spans="1:4" x14ac:dyDescent="0.25">
      <c r="A197" s="9">
        <v>46317</v>
      </c>
      <c r="B197" s="10"/>
      <c r="C197" s="10"/>
      <c r="D197" s="11"/>
    </row>
    <row r="198" spans="1:4" x14ac:dyDescent="0.25">
      <c r="A198" s="9">
        <v>46317</v>
      </c>
      <c r="B198" s="10"/>
      <c r="C198" s="10"/>
      <c r="D198" s="11"/>
    </row>
    <row r="199" spans="1:4" x14ac:dyDescent="0.25">
      <c r="A199" s="9">
        <v>46317</v>
      </c>
      <c r="B199" s="10"/>
      <c r="C199" s="10"/>
      <c r="D199" s="11"/>
    </row>
    <row r="200" spans="1:4" x14ac:dyDescent="0.25">
      <c r="A200" s="9">
        <v>46317</v>
      </c>
      <c r="B200" s="10"/>
      <c r="C200" s="10"/>
      <c r="D200" s="11"/>
    </row>
    <row r="201" spans="1:4" x14ac:dyDescent="0.25">
      <c r="A201" s="9">
        <v>46317</v>
      </c>
      <c r="B201" s="10"/>
      <c r="C201" s="10"/>
      <c r="D201" s="11"/>
    </row>
    <row r="202" spans="1:4" x14ac:dyDescent="0.25">
      <c r="A202" s="9">
        <v>46317</v>
      </c>
      <c r="B202" s="10"/>
      <c r="C202" s="10"/>
      <c r="D202" s="11"/>
    </row>
    <row r="203" spans="1:4" x14ac:dyDescent="0.25">
      <c r="A203" s="9">
        <v>46317</v>
      </c>
      <c r="B203" s="10"/>
      <c r="C203" s="10"/>
      <c r="D203" s="11"/>
    </row>
    <row r="204" spans="1:4" x14ac:dyDescent="0.25">
      <c r="A204" s="9">
        <v>46317</v>
      </c>
      <c r="B204" s="10"/>
      <c r="C204" s="10"/>
      <c r="D204" s="11"/>
    </row>
    <row r="205" spans="1:4" x14ac:dyDescent="0.25">
      <c r="A205" s="9">
        <v>46317</v>
      </c>
      <c r="B205" s="10"/>
      <c r="C205" s="10"/>
      <c r="D205" s="11"/>
    </row>
    <row r="206" spans="1:4" x14ac:dyDescent="0.25">
      <c r="A206" s="9">
        <v>46317</v>
      </c>
      <c r="B206" s="10"/>
      <c r="C206" s="10"/>
      <c r="D206" s="11"/>
    </row>
    <row r="207" spans="1:4" x14ac:dyDescent="0.25">
      <c r="A207" s="9">
        <v>46317</v>
      </c>
      <c r="B207" s="10"/>
      <c r="C207" s="10"/>
      <c r="D207" s="11"/>
    </row>
    <row r="208" spans="1:4" x14ac:dyDescent="0.25">
      <c r="A208" s="9">
        <v>46317</v>
      </c>
      <c r="B208" s="10"/>
      <c r="C208" s="10"/>
      <c r="D208" s="11"/>
    </row>
    <row r="209" spans="1:4" x14ac:dyDescent="0.25">
      <c r="A209" s="9">
        <v>46317</v>
      </c>
      <c r="B209" s="10"/>
      <c r="C209" s="10"/>
      <c r="D209" s="11"/>
    </row>
    <row r="210" spans="1:4" x14ac:dyDescent="0.25">
      <c r="A210" s="9">
        <v>46317</v>
      </c>
      <c r="B210" s="10"/>
      <c r="C210" s="10"/>
      <c r="D210" s="11"/>
    </row>
    <row r="211" spans="1:4" x14ac:dyDescent="0.25">
      <c r="A211" s="9">
        <v>46317</v>
      </c>
      <c r="B211" s="10"/>
      <c r="C211" s="10"/>
      <c r="D211" s="11"/>
    </row>
    <row r="212" spans="1:4" x14ac:dyDescent="0.25">
      <c r="A212" s="9">
        <v>46317</v>
      </c>
      <c r="B212" s="10"/>
      <c r="C212" s="10"/>
      <c r="D212" s="11"/>
    </row>
    <row r="213" spans="1:4" x14ac:dyDescent="0.25">
      <c r="A213" s="9">
        <v>46317</v>
      </c>
      <c r="B213" s="10"/>
      <c r="C213" s="10"/>
      <c r="D213" s="11"/>
    </row>
    <row r="214" spans="1:4" x14ac:dyDescent="0.25">
      <c r="A214" s="9">
        <v>46317</v>
      </c>
      <c r="B214" s="10"/>
      <c r="C214" s="10"/>
      <c r="D214" s="11"/>
    </row>
    <row r="215" spans="1:4" x14ac:dyDescent="0.25">
      <c r="A215" s="9">
        <v>46317</v>
      </c>
      <c r="B215" s="10"/>
      <c r="C215" s="10"/>
      <c r="D215" s="11"/>
    </row>
    <row r="216" spans="1:4" x14ac:dyDescent="0.25">
      <c r="A216" s="9">
        <v>46317</v>
      </c>
      <c r="B216" s="10"/>
      <c r="C216" s="10"/>
      <c r="D216" s="11"/>
    </row>
    <row r="217" spans="1:4" x14ac:dyDescent="0.25">
      <c r="A217" s="9">
        <v>46317</v>
      </c>
      <c r="B217" s="10"/>
      <c r="C217" s="10"/>
      <c r="D217" s="11"/>
    </row>
    <row r="218" spans="1:4" x14ac:dyDescent="0.25">
      <c r="A218" s="9">
        <v>46317</v>
      </c>
      <c r="B218" s="10"/>
      <c r="C218" s="10"/>
      <c r="D218" s="11"/>
    </row>
    <row r="219" spans="1:4" x14ac:dyDescent="0.25">
      <c r="A219" s="9">
        <v>46317</v>
      </c>
      <c r="B219" s="10"/>
      <c r="C219" s="10"/>
      <c r="D219" s="11"/>
    </row>
    <row r="220" spans="1:4" x14ac:dyDescent="0.25">
      <c r="A220" s="9">
        <v>46317</v>
      </c>
      <c r="B220" s="10"/>
      <c r="C220" s="10"/>
      <c r="D220" s="11"/>
    </row>
    <row r="221" spans="1:4" x14ac:dyDescent="0.25">
      <c r="A221" s="9">
        <v>46317</v>
      </c>
      <c r="B221" s="10"/>
      <c r="C221" s="10"/>
      <c r="D221" s="11"/>
    </row>
    <row r="222" spans="1:4" x14ac:dyDescent="0.25">
      <c r="A222" s="9">
        <v>46317</v>
      </c>
      <c r="B222" s="10"/>
      <c r="C222" s="10"/>
      <c r="D222" s="11"/>
    </row>
    <row r="223" spans="1:4" x14ac:dyDescent="0.25">
      <c r="A223" s="9">
        <v>46317</v>
      </c>
      <c r="B223" s="10"/>
      <c r="C223" s="10"/>
      <c r="D223" s="11"/>
    </row>
    <row r="224" spans="1:4" x14ac:dyDescent="0.25">
      <c r="A224" s="9">
        <v>46317</v>
      </c>
      <c r="B224" s="10"/>
      <c r="C224" s="10"/>
      <c r="D224" s="11"/>
    </row>
    <row r="225" spans="1:4" x14ac:dyDescent="0.25">
      <c r="A225" s="9">
        <v>46317</v>
      </c>
      <c r="B225" s="10"/>
      <c r="C225" s="10"/>
      <c r="D225" s="11"/>
    </row>
    <row r="226" spans="1:4" x14ac:dyDescent="0.25">
      <c r="A226" s="9">
        <v>46317</v>
      </c>
      <c r="B226" s="10"/>
      <c r="C226" s="10"/>
      <c r="D226" s="11"/>
    </row>
    <row r="227" spans="1:4" x14ac:dyDescent="0.25">
      <c r="A227" s="9">
        <v>46317</v>
      </c>
      <c r="B227" s="10"/>
      <c r="C227" s="10"/>
      <c r="D227" s="11"/>
    </row>
    <row r="228" spans="1:4" x14ac:dyDescent="0.25">
      <c r="A228" s="9">
        <v>46317</v>
      </c>
      <c r="B228" s="10"/>
      <c r="C228" s="10"/>
      <c r="D228" s="11"/>
    </row>
    <row r="229" spans="1:4" x14ac:dyDescent="0.25">
      <c r="A229" s="9">
        <v>46317</v>
      </c>
      <c r="B229" s="10"/>
      <c r="C229" s="10"/>
      <c r="D229" s="11"/>
    </row>
    <row r="230" spans="1:4" x14ac:dyDescent="0.25">
      <c r="A230" s="9">
        <v>46317</v>
      </c>
      <c r="B230" s="10"/>
      <c r="C230" s="10"/>
      <c r="D230" s="11"/>
    </row>
    <row r="231" spans="1:4" x14ac:dyDescent="0.25">
      <c r="A231" s="9">
        <v>46317</v>
      </c>
      <c r="B231" s="10"/>
      <c r="C231" s="10"/>
      <c r="D231" s="11"/>
    </row>
    <row r="232" spans="1:4" x14ac:dyDescent="0.25">
      <c r="A232" s="9">
        <v>46317</v>
      </c>
      <c r="B232" s="10"/>
      <c r="C232" s="10"/>
      <c r="D232" s="11"/>
    </row>
    <row r="233" spans="1:4" x14ac:dyDescent="0.25">
      <c r="A233" s="9">
        <v>46317</v>
      </c>
      <c r="B233" s="10"/>
      <c r="C233" s="10"/>
      <c r="D233" s="11"/>
    </row>
    <row r="234" spans="1:4" x14ac:dyDescent="0.25">
      <c r="A234" s="9">
        <v>46317</v>
      </c>
      <c r="B234" s="10"/>
      <c r="C234" s="10"/>
      <c r="D234" s="11"/>
    </row>
    <row r="235" spans="1:4" x14ac:dyDescent="0.25">
      <c r="A235" s="9">
        <v>46317</v>
      </c>
      <c r="B235" s="10"/>
      <c r="C235" s="10"/>
      <c r="D235" s="11"/>
    </row>
    <row r="236" spans="1:4" x14ac:dyDescent="0.25">
      <c r="A236" s="9">
        <v>46317</v>
      </c>
      <c r="B236" s="10"/>
      <c r="C236" s="10"/>
      <c r="D236" s="11"/>
    </row>
    <row r="237" spans="1:4" x14ac:dyDescent="0.25">
      <c r="A237" s="9">
        <v>46317</v>
      </c>
      <c r="B237" s="10"/>
      <c r="C237" s="10"/>
      <c r="D237" s="11"/>
    </row>
    <row r="238" spans="1:4" x14ac:dyDescent="0.25">
      <c r="A238" s="9">
        <v>46317</v>
      </c>
      <c r="B238" s="10"/>
      <c r="C238" s="10"/>
      <c r="D238" s="11"/>
    </row>
    <row r="239" spans="1:4" x14ac:dyDescent="0.25">
      <c r="A239" s="9">
        <v>46317</v>
      </c>
      <c r="B239" s="10"/>
      <c r="C239" s="10"/>
      <c r="D239" s="11"/>
    </row>
    <row r="240" spans="1:4" x14ac:dyDescent="0.25">
      <c r="A240" s="9">
        <v>46317</v>
      </c>
      <c r="B240" s="10"/>
      <c r="C240" s="10"/>
      <c r="D240" s="11"/>
    </row>
    <row r="241" spans="1:4" x14ac:dyDescent="0.25">
      <c r="A241" s="9">
        <v>46317</v>
      </c>
      <c r="B241" s="10"/>
      <c r="C241" s="10"/>
      <c r="D241" s="11"/>
    </row>
    <row r="242" spans="1:4" x14ac:dyDescent="0.25">
      <c r="A242" s="9">
        <v>46317</v>
      </c>
      <c r="B242" s="10"/>
      <c r="C242" s="10"/>
      <c r="D242" s="11"/>
    </row>
    <row r="243" spans="1:4" x14ac:dyDescent="0.25">
      <c r="A243" s="9">
        <v>46317</v>
      </c>
      <c r="B243" s="10"/>
      <c r="C243" s="10"/>
      <c r="D243" s="11"/>
    </row>
    <row r="244" spans="1:4" x14ac:dyDescent="0.25">
      <c r="A244" s="9">
        <v>46317</v>
      </c>
      <c r="B244" s="10"/>
      <c r="C244" s="10"/>
      <c r="D244" s="11"/>
    </row>
    <row r="245" spans="1:4" x14ac:dyDescent="0.25">
      <c r="A245" s="9">
        <v>46317</v>
      </c>
      <c r="B245" s="10"/>
      <c r="C245" s="10"/>
      <c r="D245" s="11"/>
    </row>
    <row r="246" spans="1:4" x14ac:dyDescent="0.25">
      <c r="A246" s="9">
        <v>46317</v>
      </c>
      <c r="B246" s="10"/>
      <c r="C246" s="10"/>
      <c r="D246" s="11"/>
    </row>
    <row r="247" spans="1:4" x14ac:dyDescent="0.25">
      <c r="A247" s="9">
        <v>46317</v>
      </c>
      <c r="B247" s="10"/>
      <c r="C247" s="10"/>
      <c r="D247" s="11"/>
    </row>
    <row r="248" spans="1:4" x14ac:dyDescent="0.25">
      <c r="A248" s="9">
        <v>46317</v>
      </c>
      <c r="B248" s="10"/>
      <c r="C248" s="10"/>
      <c r="D248" s="11"/>
    </row>
    <row r="249" spans="1:4" x14ac:dyDescent="0.25">
      <c r="A249" s="9">
        <v>46317</v>
      </c>
      <c r="B249" s="10"/>
      <c r="C249" s="10"/>
      <c r="D249" s="11"/>
    </row>
    <row r="250" spans="1:4" x14ac:dyDescent="0.25">
      <c r="A250" s="9">
        <v>46317</v>
      </c>
      <c r="B250" s="10"/>
      <c r="C250" s="10"/>
      <c r="D250" s="11"/>
    </row>
    <row r="251" spans="1:4" x14ac:dyDescent="0.25">
      <c r="A251" s="9">
        <v>46317</v>
      </c>
      <c r="B251" s="10"/>
      <c r="C251" s="10"/>
      <c r="D251" s="11"/>
    </row>
    <row r="252" spans="1:4" x14ac:dyDescent="0.25">
      <c r="A252" s="9">
        <v>46317</v>
      </c>
      <c r="B252" s="10"/>
      <c r="C252" s="10"/>
      <c r="D252" s="11"/>
    </row>
    <row r="253" spans="1:4" x14ac:dyDescent="0.25">
      <c r="A253" s="9">
        <v>46317</v>
      </c>
      <c r="B253" s="10"/>
      <c r="C253" s="10"/>
      <c r="D253" s="11"/>
    </row>
    <row r="254" spans="1:4" x14ac:dyDescent="0.25">
      <c r="A254" s="9">
        <v>46317</v>
      </c>
      <c r="B254" s="10"/>
      <c r="C254" s="10"/>
      <c r="D254" s="11"/>
    </row>
    <row r="255" spans="1:4" x14ac:dyDescent="0.25">
      <c r="A255" s="9">
        <v>46317</v>
      </c>
      <c r="B255" s="10"/>
      <c r="C255" s="10"/>
      <c r="D255" s="11"/>
    </row>
    <row r="256" spans="1:4" x14ac:dyDescent="0.25">
      <c r="A256" s="9">
        <v>46317</v>
      </c>
      <c r="B256" s="10"/>
      <c r="C256" s="10"/>
      <c r="D256" s="11"/>
    </row>
    <row r="257" spans="1:4" x14ac:dyDescent="0.25">
      <c r="A257" s="9">
        <v>46317</v>
      </c>
      <c r="B257" s="10"/>
      <c r="C257" s="10"/>
      <c r="D257" s="11"/>
    </row>
    <row r="258" spans="1:4" x14ac:dyDescent="0.25">
      <c r="A258" s="9">
        <v>46317</v>
      </c>
      <c r="B258" s="10"/>
      <c r="C258" s="10"/>
      <c r="D258" s="11"/>
    </row>
    <row r="259" spans="1:4" x14ac:dyDescent="0.25">
      <c r="A259" s="9">
        <v>46317</v>
      </c>
      <c r="B259" s="10"/>
      <c r="C259" s="10"/>
      <c r="D259" s="11"/>
    </row>
    <row r="260" spans="1:4" x14ac:dyDescent="0.25">
      <c r="A260" s="9">
        <v>46317</v>
      </c>
      <c r="B260" s="10"/>
      <c r="C260" s="10"/>
      <c r="D260" s="11"/>
    </row>
    <row r="261" spans="1:4" x14ac:dyDescent="0.25">
      <c r="A261" s="9">
        <v>46317</v>
      </c>
      <c r="B261" s="10"/>
      <c r="C261" s="10"/>
      <c r="D261" s="11"/>
    </row>
    <row r="262" spans="1:4" x14ac:dyDescent="0.25">
      <c r="A262" s="9">
        <v>46317</v>
      </c>
      <c r="B262" s="10"/>
      <c r="C262" s="10"/>
      <c r="D262" s="11"/>
    </row>
    <row r="263" spans="1:4" x14ac:dyDescent="0.25">
      <c r="A263" s="9">
        <v>46317</v>
      </c>
      <c r="B263" s="10"/>
      <c r="C263" s="10"/>
      <c r="D263" s="11"/>
    </row>
    <row r="264" spans="1:4" x14ac:dyDescent="0.25">
      <c r="A264" s="9">
        <v>46317</v>
      </c>
      <c r="B264" s="10"/>
      <c r="C264" s="10"/>
      <c r="D264" s="11"/>
    </row>
    <row r="265" spans="1:4" x14ac:dyDescent="0.25">
      <c r="A265" s="9">
        <v>46317</v>
      </c>
      <c r="B265" s="10"/>
      <c r="C265" s="10"/>
      <c r="D265" s="11"/>
    </row>
    <row r="266" spans="1:4" x14ac:dyDescent="0.25">
      <c r="A266" s="9">
        <v>46317</v>
      </c>
      <c r="B266" s="10"/>
      <c r="C266" s="10"/>
      <c r="D266" s="11"/>
    </row>
    <row r="267" spans="1:4" x14ac:dyDescent="0.25">
      <c r="A267" s="9">
        <v>46317</v>
      </c>
      <c r="B267" s="10"/>
      <c r="C267" s="10"/>
      <c r="D267" s="11"/>
    </row>
    <row r="268" spans="1:4" x14ac:dyDescent="0.25">
      <c r="A268" s="9">
        <v>46317</v>
      </c>
      <c r="B268" s="10"/>
      <c r="C268" s="10"/>
      <c r="D268" s="11"/>
    </row>
    <row r="269" spans="1:4" x14ac:dyDescent="0.25">
      <c r="A269" s="9">
        <v>46317</v>
      </c>
      <c r="B269" s="10"/>
      <c r="C269" s="10"/>
      <c r="D269" s="11"/>
    </row>
    <row r="270" spans="1:4" x14ac:dyDescent="0.25">
      <c r="A270" s="9">
        <v>46317</v>
      </c>
      <c r="B270" s="10"/>
      <c r="C270" s="10"/>
      <c r="D270" s="11"/>
    </row>
    <row r="271" spans="1:4" x14ac:dyDescent="0.25">
      <c r="A271" s="9">
        <v>46317</v>
      </c>
      <c r="B271" s="10"/>
      <c r="C271" s="10"/>
      <c r="D271" s="11"/>
    </row>
    <row r="272" spans="1:4" x14ac:dyDescent="0.25">
      <c r="A272" s="9">
        <v>46317</v>
      </c>
      <c r="B272" s="10"/>
      <c r="C272" s="10"/>
      <c r="D272" s="11"/>
    </row>
    <row r="273" spans="1:4" x14ac:dyDescent="0.25">
      <c r="A273" s="9">
        <v>46317</v>
      </c>
      <c r="B273" s="10"/>
      <c r="C273" s="10"/>
      <c r="D273" s="11"/>
    </row>
    <row r="274" spans="1:4" x14ac:dyDescent="0.25">
      <c r="A274" s="9">
        <v>46317</v>
      </c>
      <c r="B274" s="10"/>
      <c r="C274" s="10"/>
      <c r="D274" s="11"/>
    </row>
    <row r="275" spans="1:4" x14ac:dyDescent="0.25">
      <c r="A275" s="9">
        <v>46317</v>
      </c>
      <c r="B275" s="10"/>
      <c r="C275" s="10"/>
      <c r="D275" s="11"/>
    </row>
    <row r="276" spans="1:4" x14ac:dyDescent="0.25">
      <c r="A276" s="9">
        <v>46317</v>
      </c>
      <c r="B276" s="10"/>
      <c r="C276" s="10"/>
      <c r="D276" s="11"/>
    </row>
    <row r="277" spans="1:4" x14ac:dyDescent="0.25">
      <c r="A277" s="9">
        <v>46317</v>
      </c>
      <c r="B277" s="10"/>
      <c r="C277" s="10"/>
      <c r="D277" s="11"/>
    </row>
    <row r="278" spans="1:4" x14ac:dyDescent="0.25">
      <c r="A278" s="9">
        <v>46317</v>
      </c>
      <c r="B278" s="10"/>
      <c r="C278" s="10"/>
      <c r="D278" s="11"/>
    </row>
    <row r="279" spans="1:4" x14ac:dyDescent="0.25">
      <c r="A279" s="9">
        <v>46317</v>
      </c>
      <c r="B279" s="10"/>
      <c r="C279" s="10"/>
      <c r="D279" s="11"/>
    </row>
    <row r="280" spans="1:4" x14ac:dyDescent="0.25">
      <c r="A280" s="9">
        <v>46317</v>
      </c>
      <c r="B280" s="10"/>
      <c r="C280" s="10"/>
      <c r="D280" s="11"/>
    </row>
    <row r="281" spans="1:4" x14ac:dyDescent="0.25">
      <c r="A281" s="9">
        <v>46317</v>
      </c>
      <c r="B281" s="10"/>
      <c r="C281" s="10"/>
      <c r="D281" s="11"/>
    </row>
    <row r="282" spans="1:4" x14ac:dyDescent="0.25">
      <c r="A282" s="9">
        <v>46317</v>
      </c>
      <c r="B282" s="10"/>
      <c r="C282" s="10"/>
      <c r="D282" s="11"/>
    </row>
    <row r="283" spans="1:4" x14ac:dyDescent="0.25">
      <c r="A283" s="9">
        <v>46317</v>
      </c>
      <c r="B283" s="10"/>
      <c r="C283" s="10"/>
      <c r="D283" s="11"/>
    </row>
    <row r="284" spans="1:4" x14ac:dyDescent="0.25">
      <c r="A284" s="9">
        <v>46317</v>
      </c>
      <c r="B284" s="10"/>
      <c r="C284" s="10"/>
      <c r="D284" s="11"/>
    </row>
    <row r="285" spans="1:4" x14ac:dyDescent="0.25">
      <c r="A285" s="9">
        <v>46317</v>
      </c>
      <c r="B285" s="10"/>
      <c r="C285" s="10"/>
      <c r="D285" s="11"/>
    </row>
    <row r="286" spans="1:4" x14ac:dyDescent="0.25">
      <c r="A286" s="9">
        <v>46317</v>
      </c>
      <c r="B286" s="10"/>
      <c r="C286" s="10"/>
      <c r="D286" s="11"/>
    </row>
    <row r="287" spans="1:4" x14ac:dyDescent="0.25">
      <c r="A287" s="9">
        <v>46317</v>
      </c>
      <c r="B287" s="10"/>
      <c r="C287" s="10"/>
      <c r="D287" s="11"/>
    </row>
    <row r="288" spans="1:4" x14ac:dyDescent="0.25">
      <c r="A288" s="9">
        <v>46317</v>
      </c>
      <c r="B288" s="10"/>
      <c r="C288" s="10"/>
      <c r="D288" s="11"/>
    </row>
    <row r="289" spans="1:4" x14ac:dyDescent="0.25">
      <c r="A289" s="9">
        <v>46317</v>
      </c>
      <c r="B289" s="10"/>
      <c r="C289" s="10"/>
      <c r="D289" s="11"/>
    </row>
    <row r="290" spans="1:4" x14ac:dyDescent="0.25">
      <c r="A290" s="9">
        <v>46317</v>
      </c>
      <c r="B290" s="10"/>
      <c r="C290" s="10"/>
      <c r="D290" s="11"/>
    </row>
    <row r="291" spans="1:4" x14ac:dyDescent="0.25">
      <c r="A291" s="9">
        <v>46317</v>
      </c>
      <c r="B291" s="10"/>
      <c r="C291" s="10"/>
      <c r="D291" s="11"/>
    </row>
    <row r="292" spans="1:4" x14ac:dyDescent="0.25">
      <c r="A292" s="9">
        <v>46317</v>
      </c>
      <c r="B292" s="10"/>
      <c r="C292" s="10"/>
      <c r="D292" s="11"/>
    </row>
    <row r="293" spans="1:4" x14ac:dyDescent="0.25">
      <c r="A293" s="9">
        <v>46317</v>
      </c>
      <c r="B293" s="10"/>
      <c r="C293" s="10"/>
      <c r="D293" s="11"/>
    </row>
    <row r="294" spans="1:4" x14ac:dyDescent="0.25">
      <c r="A294" s="9">
        <v>46317</v>
      </c>
      <c r="B294" s="10"/>
      <c r="C294" s="10"/>
      <c r="D294" s="11"/>
    </row>
    <row r="295" spans="1:4" x14ac:dyDescent="0.25">
      <c r="A295" s="9">
        <v>46317</v>
      </c>
      <c r="B295" s="10"/>
      <c r="C295" s="10"/>
      <c r="D295" s="11"/>
    </row>
    <row r="296" spans="1:4" x14ac:dyDescent="0.25">
      <c r="A296" s="9">
        <v>46317</v>
      </c>
      <c r="B296" s="10"/>
      <c r="C296" s="10"/>
      <c r="D296" s="11"/>
    </row>
    <row r="297" spans="1:4" x14ac:dyDescent="0.25">
      <c r="A297" s="9">
        <v>46317</v>
      </c>
      <c r="B297" s="10"/>
      <c r="C297" s="10"/>
      <c r="D297" s="11"/>
    </row>
    <row r="298" spans="1:4" x14ac:dyDescent="0.25">
      <c r="A298" s="9">
        <v>46317</v>
      </c>
      <c r="B298" s="10"/>
      <c r="C298" s="10"/>
      <c r="D298" s="11"/>
    </row>
    <row r="299" spans="1:4" x14ac:dyDescent="0.25">
      <c r="A299" s="9">
        <v>46317</v>
      </c>
      <c r="B299" s="10"/>
      <c r="C299" s="10"/>
      <c r="D299" s="11"/>
    </row>
    <row r="300" spans="1:4" x14ac:dyDescent="0.25">
      <c r="A300" s="9">
        <v>46317</v>
      </c>
      <c r="B300" s="10"/>
      <c r="C300" s="10"/>
      <c r="D300" s="11"/>
    </row>
    <row r="301" spans="1:4" x14ac:dyDescent="0.25">
      <c r="A301" s="9">
        <v>46317</v>
      </c>
      <c r="B301" s="10"/>
      <c r="C301" s="10"/>
      <c r="D301" s="11"/>
    </row>
    <row r="302" spans="1:4" x14ac:dyDescent="0.25">
      <c r="A302" s="9">
        <v>46317</v>
      </c>
      <c r="B302" s="10"/>
      <c r="C302" s="10"/>
      <c r="D302" s="11"/>
    </row>
    <row r="303" spans="1:4" x14ac:dyDescent="0.25">
      <c r="A303" s="9">
        <v>46317</v>
      </c>
      <c r="B303" s="10"/>
      <c r="C303" s="10"/>
      <c r="D303" s="11"/>
    </row>
    <row r="304" spans="1:4" x14ac:dyDescent="0.25">
      <c r="A304" s="9">
        <v>46317</v>
      </c>
      <c r="B304" s="10"/>
      <c r="C304" s="10"/>
      <c r="D304" s="11"/>
    </row>
    <row r="305" spans="1:4" x14ac:dyDescent="0.25">
      <c r="A305" s="9">
        <v>46317</v>
      </c>
      <c r="B305" s="10"/>
      <c r="C305" s="10"/>
      <c r="D305" s="11"/>
    </row>
    <row r="306" spans="1:4" x14ac:dyDescent="0.25">
      <c r="A306" s="9">
        <v>46317</v>
      </c>
      <c r="B306" s="10"/>
      <c r="C306" s="10"/>
      <c r="D306" s="11"/>
    </row>
    <row r="307" spans="1:4" x14ac:dyDescent="0.25">
      <c r="A307" s="9">
        <v>46317</v>
      </c>
      <c r="B307" s="10"/>
      <c r="C307" s="10"/>
      <c r="D307" s="11"/>
    </row>
    <row r="308" spans="1:4" x14ac:dyDescent="0.25">
      <c r="A308" s="9">
        <v>46317</v>
      </c>
      <c r="B308" s="10"/>
      <c r="C308" s="10"/>
      <c r="D308" s="11"/>
    </row>
    <row r="309" spans="1:4" x14ac:dyDescent="0.25">
      <c r="A309" s="9">
        <v>46317</v>
      </c>
      <c r="B309" s="10"/>
      <c r="C309" s="10"/>
      <c r="D309" s="11"/>
    </row>
    <row r="310" spans="1:4" x14ac:dyDescent="0.25">
      <c r="A310" s="9">
        <v>46317</v>
      </c>
      <c r="B310" s="10"/>
      <c r="C310" s="10"/>
      <c r="D310" s="11"/>
    </row>
    <row r="311" spans="1:4" x14ac:dyDescent="0.25">
      <c r="A311" s="9">
        <v>46317</v>
      </c>
      <c r="B311" s="10"/>
      <c r="C311" s="10"/>
      <c r="D311" s="11"/>
    </row>
    <row r="312" spans="1:4" x14ac:dyDescent="0.25">
      <c r="A312" s="9">
        <v>46317</v>
      </c>
      <c r="B312" s="10"/>
      <c r="C312" s="10"/>
      <c r="D312" s="11"/>
    </row>
    <row r="313" spans="1:4" x14ac:dyDescent="0.25">
      <c r="A313" s="9">
        <v>46317</v>
      </c>
      <c r="B313" s="10"/>
      <c r="C313" s="10"/>
      <c r="D313" s="11"/>
    </row>
    <row r="314" spans="1:4" x14ac:dyDescent="0.25">
      <c r="A314" s="9">
        <v>46317</v>
      </c>
      <c r="B314" s="10"/>
      <c r="C314" s="10"/>
      <c r="D314" s="11"/>
    </row>
    <row r="315" spans="1:4" x14ac:dyDescent="0.25">
      <c r="A315" s="9">
        <v>46317</v>
      </c>
      <c r="B315" s="10"/>
      <c r="C315" s="10"/>
      <c r="D315" s="11"/>
    </row>
    <row r="316" spans="1:4" x14ac:dyDescent="0.25">
      <c r="A316" s="9">
        <v>46317</v>
      </c>
      <c r="B316" s="10"/>
      <c r="C316" s="10"/>
      <c r="D316" s="11"/>
    </row>
    <row r="317" spans="1:4" x14ac:dyDescent="0.25">
      <c r="A317" s="9">
        <v>46317</v>
      </c>
      <c r="B317" s="10"/>
      <c r="C317" s="10"/>
      <c r="D317" s="11"/>
    </row>
    <row r="318" spans="1:4" x14ac:dyDescent="0.25">
      <c r="A318" s="9">
        <v>46317</v>
      </c>
      <c r="B318" s="10"/>
      <c r="C318" s="10"/>
      <c r="D318" s="11"/>
    </row>
    <row r="319" spans="1:4" x14ac:dyDescent="0.25">
      <c r="A319" s="9">
        <v>46317</v>
      </c>
      <c r="B319" s="10"/>
      <c r="C319" s="10"/>
      <c r="D319" s="11"/>
    </row>
    <row r="320" spans="1:4" x14ac:dyDescent="0.25">
      <c r="A320" s="9">
        <v>46317</v>
      </c>
      <c r="B320" s="10"/>
      <c r="C320" s="10"/>
      <c r="D320" s="11"/>
    </row>
    <row r="321" spans="1:4" x14ac:dyDescent="0.25">
      <c r="A321" s="9">
        <v>46317</v>
      </c>
      <c r="B321" s="10"/>
      <c r="C321" s="10"/>
      <c r="D321" s="11"/>
    </row>
    <row r="322" spans="1:4" x14ac:dyDescent="0.25">
      <c r="A322" s="9">
        <v>46317</v>
      </c>
      <c r="B322" s="10"/>
      <c r="C322" s="10"/>
      <c r="D322" s="11"/>
    </row>
    <row r="323" spans="1:4" x14ac:dyDescent="0.25">
      <c r="A323" s="9">
        <v>46317</v>
      </c>
      <c r="B323" s="10"/>
      <c r="C323" s="10"/>
      <c r="D323" s="11"/>
    </row>
    <row r="324" spans="1:4" x14ac:dyDescent="0.25">
      <c r="A324" s="9">
        <v>46317</v>
      </c>
      <c r="B324" s="10"/>
      <c r="C324" s="10"/>
      <c r="D324" s="11"/>
    </row>
    <row r="325" spans="1:4" x14ac:dyDescent="0.25">
      <c r="A325" s="9">
        <v>46317</v>
      </c>
      <c r="B325" s="10"/>
      <c r="C325" s="10"/>
      <c r="D325" s="11"/>
    </row>
    <row r="326" spans="1:4" x14ac:dyDescent="0.25">
      <c r="A326" s="9">
        <v>46317</v>
      </c>
      <c r="B326" s="10"/>
      <c r="C326" s="10"/>
      <c r="D326" s="11"/>
    </row>
    <row r="327" spans="1:4" x14ac:dyDescent="0.25">
      <c r="A327" s="9">
        <v>46317</v>
      </c>
      <c r="B327" s="10"/>
      <c r="C327" s="10"/>
      <c r="D327" s="11"/>
    </row>
    <row r="328" spans="1:4" x14ac:dyDescent="0.25">
      <c r="A328" s="9">
        <v>46317</v>
      </c>
      <c r="B328" s="10"/>
      <c r="C328" s="10"/>
      <c r="D328" s="11"/>
    </row>
    <row r="329" spans="1:4" x14ac:dyDescent="0.25">
      <c r="A329" s="9">
        <v>46317</v>
      </c>
      <c r="B329" s="10"/>
      <c r="C329" s="10"/>
      <c r="D329" s="11"/>
    </row>
    <row r="330" spans="1:4" x14ac:dyDescent="0.25">
      <c r="A330" s="9">
        <v>46317</v>
      </c>
      <c r="B330" s="10"/>
      <c r="C330" s="10"/>
      <c r="D330" s="11"/>
    </row>
    <row r="331" spans="1:4" x14ac:dyDescent="0.25">
      <c r="A331" s="9">
        <v>46317</v>
      </c>
      <c r="B331" s="10"/>
      <c r="C331" s="10"/>
      <c r="D331" s="11"/>
    </row>
    <row r="332" spans="1:4" x14ac:dyDescent="0.25">
      <c r="A332" s="9">
        <v>46317</v>
      </c>
      <c r="B332" s="10"/>
      <c r="C332" s="10"/>
      <c r="D332" s="11"/>
    </row>
    <row r="333" spans="1:4" x14ac:dyDescent="0.25">
      <c r="A333" s="9">
        <v>46317</v>
      </c>
      <c r="B333" s="10"/>
      <c r="C333" s="10"/>
      <c r="D333" s="11"/>
    </row>
    <row r="334" spans="1:4" x14ac:dyDescent="0.25">
      <c r="A334" s="9">
        <v>46317</v>
      </c>
      <c r="B334" s="10"/>
      <c r="C334" s="10"/>
      <c r="D334" s="11"/>
    </row>
    <row r="335" spans="1:4" x14ac:dyDescent="0.25">
      <c r="A335" s="9">
        <v>46317</v>
      </c>
      <c r="B335" s="10"/>
      <c r="C335" s="10"/>
      <c r="D335" s="11"/>
    </row>
    <row r="336" spans="1:4" x14ac:dyDescent="0.25">
      <c r="A336" s="9">
        <v>46317</v>
      </c>
      <c r="B336" s="10"/>
      <c r="C336" s="10"/>
      <c r="D336" s="11"/>
    </row>
    <row r="337" spans="1:4" x14ac:dyDescent="0.25">
      <c r="A337" s="9">
        <v>46317</v>
      </c>
      <c r="B337" s="10"/>
      <c r="C337" s="10"/>
      <c r="D337" s="11"/>
    </row>
    <row r="338" spans="1:4" x14ac:dyDescent="0.25">
      <c r="A338" s="9">
        <v>46317</v>
      </c>
      <c r="B338" s="10"/>
      <c r="C338" s="10"/>
      <c r="D338" s="11"/>
    </row>
    <row r="339" spans="1:4" x14ac:dyDescent="0.25">
      <c r="A339" s="9">
        <v>46317</v>
      </c>
      <c r="B339" s="10"/>
      <c r="C339" s="10"/>
      <c r="D339" s="11"/>
    </row>
    <row r="340" spans="1:4" x14ac:dyDescent="0.25">
      <c r="A340" s="9">
        <v>46317</v>
      </c>
      <c r="B340" s="10"/>
      <c r="C340" s="10"/>
      <c r="D340" s="11"/>
    </row>
    <row r="341" spans="1:4" x14ac:dyDescent="0.25">
      <c r="A341" s="9">
        <v>46317</v>
      </c>
      <c r="B341" s="10"/>
      <c r="C341" s="10"/>
      <c r="D341" s="11"/>
    </row>
    <row r="342" spans="1:4" x14ac:dyDescent="0.25">
      <c r="A342" s="9">
        <v>46317</v>
      </c>
      <c r="B342" s="10"/>
      <c r="C342" s="10"/>
      <c r="D342" s="11"/>
    </row>
    <row r="343" spans="1:4" x14ac:dyDescent="0.25">
      <c r="A343" s="9">
        <v>46317</v>
      </c>
      <c r="B343" s="10"/>
      <c r="C343" s="10"/>
      <c r="D343" s="11"/>
    </row>
    <row r="344" spans="1:4" x14ac:dyDescent="0.25">
      <c r="A344" s="9">
        <v>46317</v>
      </c>
      <c r="B344" s="10"/>
      <c r="C344" s="10"/>
      <c r="D344" s="11"/>
    </row>
    <row r="345" spans="1:4" x14ac:dyDescent="0.25">
      <c r="A345" s="9">
        <v>46317</v>
      </c>
      <c r="B345" s="10"/>
      <c r="C345" s="10"/>
      <c r="D345" s="11"/>
    </row>
    <row r="346" spans="1:4" x14ac:dyDescent="0.25">
      <c r="A346" s="9">
        <v>46317</v>
      </c>
      <c r="B346" s="10"/>
      <c r="C346" s="10"/>
      <c r="D346" s="11"/>
    </row>
    <row r="347" spans="1:4" x14ac:dyDescent="0.25">
      <c r="A347" s="9">
        <v>46317</v>
      </c>
      <c r="B347" s="10"/>
      <c r="C347" s="10"/>
      <c r="D347" s="11"/>
    </row>
    <row r="348" spans="1:4" x14ac:dyDescent="0.25">
      <c r="A348" s="9">
        <v>46317</v>
      </c>
      <c r="B348" s="10"/>
      <c r="C348" s="10"/>
      <c r="D348" s="11"/>
    </row>
    <row r="349" spans="1:4" x14ac:dyDescent="0.25">
      <c r="A349" s="9">
        <v>46317</v>
      </c>
      <c r="B349" s="10"/>
      <c r="C349" s="10"/>
      <c r="D349" s="11"/>
    </row>
    <row r="350" spans="1:4" x14ac:dyDescent="0.25">
      <c r="A350" s="9">
        <v>46317</v>
      </c>
      <c r="B350" s="10"/>
      <c r="C350" s="10"/>
      <c r="D350" s="11"/>
    </row>
    <row r="351" spans="1:4" x14ac:dyDescent="0.25">
      <c r="A351" s="9">
        <v>46317</v>
      </c>
      <c r="B351" s="10"/>
      <c r="C351" s="10"/>
      <c r="D351" s="11"/>
    </row>
    <row r="352" spans="1:4" x14ac:dyDescent="0.25">
      <c r="A352" s="9">
        <v>46317</v>
      </c>
      <c r="B352" s="10"/>
      <c r="C352" s="10"/>
      <c r="D352" s="11"/>
    </row>
    <row r="353" spans="1:4" x14ac:dyDescent="0.25">
      <c r="A353" s="9">
        <v>46317</v>
      </c>
      <c r="B353" s="10"/>
      <c r="C353" s="10"/>
      <c r="D353" s="11"/>
    </row>
    <row r="354" spans="1:4" x14ac:dyDescent="0.25">
      <c r="A354" s="9">
        <v>46317</v>
      </c>
      <c r="B354" s="10"/>
      <c r="C354" s="10"/>
      <c r="D354" s="11"/>
    </row>
    <row r="355" spans="1:4" x14ac:dyDescent="0.25">
      <c r="A355" s="9">
        <v>46317</v>
      </c>
      <c r="B355" s="10"/>
      <c r="C355" s="10"/>
      <c r="D355" s="11"/>
    </row>
    <row r="356" spans="1:4" x14ac:dyDescent="0.25">
      <c r="A356" s="9">
        <v>46317</v>
      </c>
      <c r="B356" s="10"/>
      <c r="C356" s="10"/>
      <c r="D356" s="11"/>
    </row>
    <row r="357" spans="1:4" x14ac:dyDescent="0.25">
      <c r="A357" s="9">
        <v>46317</v>
      </c>
      <c r="B357" s="10"/>
      <c r="C357" s="10"/>
      <c r="D357" s="11"/>
    </row>
    <row r="358" spans="1:4" x14ac:dyDescent="0.25">
      <c r="A358" s="9">
        <v>46317</v>
      </c>
      <c r="B358" s="10"/>
      <c r="C358" s="10"/>
      <c r="D358" s="11"/>
    </row>
    <row r="359" spans="1:4" x14ac:dyDescent="0.25">
      <c r="A359" s="9">
        <v>46317</v>
      </c>
      <c r="B359" s="10"/>
      <c r="C359" s="10"/>
      <c r="D359" s="11"/>
    </row>
    <row r="360" spans="1:4" x14ac:dyDescent="0.25">
      <c r="A360" s="9">
        <v>46317</v>
      </c>
      <c r="B360" s="10"/>
      <c r="C360" s="10"/>
      <c r="D360" s="11"/>
    </row>
    <row r="361" spans="1:4" x14ac:dyDescent="0.25">
      <c r="A361" s="9">
        <v>46317</v>
      </c>
      <c r="B361" s="10"/>
      <c r="C361" s="10"/>
      <c r="D361" s="11"/>
    </row>
    <row r="362" spans="1:4" x14ac:dyDescent="0.25">
      <c r="A362" s="9">
        <v>46317</v>
      </c>
      <c r="B362" s="10"/>
      <c r="C362" s="10"/>
      <c r="D362" s="11"/>
    </row>
    <row r="363" spans="1:4" x14ac:dyDescent="0.25">
      <c r="A363" s="9">
        <v>46317</v>
      </c>
      <c r="B363" s="10"/>
      <c r="C363" s="10"/>
      <c r="D363" s="11"/>
    </row>
    <row r="364" spans="1:4" x14ac:dyDescent="0.25">
      <c r="A364" s="9">
        <v>46317</v>
      </c>
      <c r="B364" s="10"/>
      <c r="C364" s="10"/>
      <c r="D364" s="11"/>
    </row>
    <row r="365" spans="1:4" x14ac:dyDescent="0.25">
      <c r="A365" s="9">
        <v>46317</v>
      </c>
      <c r="B365" s="10"/>
      <c r="C365" s="10"/>
      <c r="D365" s="11"/>
    </row>
    <row r="366" spans="1:4" x14ac:dyDescent="0.25">
      <c r="A366" s="9">
        <v>46317</v>
      </c>
      <c r="B366" s="10"/>
      <c r="C366" s="10"/>
      <c r="D366" s="11"/>
    </row>
    <row r="367" spans="1:4" x14ac:dyDescent="0.25">
      <c r="A367" s="9">
        <v>46317</v>
      </c>
      <c r="B367" s="10"/>
      <c r="C367" s="10"/>
      <c r="D367" s="11"/>
    </row>
    <row r="368" spans="1:4" x14ac:dyDescent="0.25">
      <c r="A368" s="9">
        <v>46317</v>
      </c>
      <c r="B368" s="10"/>
      <c r="C368" s="10"/>
      <c r="D368" s="11"/>
    </row>
    <row r="369" spans="1:4" x14ac:dyDescent="0.25">
      <c r="A369" s="9">
        <v>46317</v>
      </c>
      <c r="B369" s="10"/>
      <c r="C369" s="10"/>
      <c r="D369" s="11"/>
    </row>
    <row r="370" spans="1:4" x14ac:dyDescent="0.25">
      <c r="A370" s="9">
        <v>46317</v>
      </c>
      <c r="B370" s="10"/>
      <c r="C370" s="10"/>
      <c r="D370" s="11"/>
    </row>
    <row r="371" spans="1:4" x14ac:dyDescent="0.25">
      <c r="A371" s="9">
        <v>46317</v>
      </c>
      <c r="B371" s="10"/>
      <c r="C371" s="10"/>
      <c r="D371" s="11"/>
    </row>
    <row r="372" spans="1:4" x14ac:dyDescent="0.25">
      <c r="A372" s="9">
        <v>46317</v>
      </c>
      <c r="B372" s="10"/>
      <c r="C372" s="10"/>
      <c r="D372" s="11"/>
    </row>
    <row r="373" spans="1:4" x14ac:dyDescent="0.25">
      <c r="A373" s="9">
        <v>46317</v>
      </c>
      <c r="B373" s="10"/>
      <c r="C373" s="10"/>
      <c r="D373" s="11"/>
    </row>
    <row r="374" spans="1:4" x14ac:dyDescent="0.25">
      <c r="A374" s="9">
        <v>46317</v>
      </c>
      <c r="B374" s="10"/>
      <c r="C374" s="10"/>
      <c r="D374" s="11"/>
    </row>
    <row r="375" spans="1:4" x14ac:dyDescent="0.25">
      <c r="A375" s="9">
        <v>46317</v>
      </c>
      <c r="B375" s="10"/>
      <c r="C375" s="10"/>
      <c r="D375" s="11"/>
    </row>
    <row r="376" spans="1:4" x14ac:dyDescent="0.25">
      <c r="A376" s="9">
        <v>46317</v>
      </c>
      <c r="B376" s="10"/>
      <c r="C376" s="10"/>
      <c r="D376" s="11"/>
    </row>
    <row r="377" spans="1:4" x14ac:dyDescent="0.25">
      <c r="A377" s="9">
        <v>46317</v>
      </c>
      <c r="B377" s="10"/>
      <c r="C377" s="10"/>
      <c r="D377" s="11"/>
    </row>
    <row r="378" spans="1:4" x14ac:dyDescent="0.25">
      <c r="A378" s="9">
        <v>46317</v>
      </c>
      <c r="B378" s="10"/>
      <c r="C378" s="10"/>
      <c r="D378" s="11"/>
    </row>
    <row r="379" spans="1:4" x14ac:dyDescent="0.25">
      <c r="A379" s="9">
        <v>46317</v>
      </c>
      <c r="B379" s="10"/>
      <c r="C379" s="10"/>
      <c r="D379" s="11"/>
    </row>
    <row r="380" spans="1:4" x14ac:dyDescent="0.25">
      <c r="A380" s="9">
        <v>46317</v>
      </c>
      <c r="B380" s="10"/>
      <c r="C380" s="10"/>
      <c r="D380" s="11"/>
    </row>
    <row r="381" spans="1:4" x14ac:dyDescent="0.25">
      <c r="A381" s="9">
        <v>46317</v>
      </c>
      <c r="B381" s="10"/>
      <c r="C381" s="10"/>
      <c r="D381" s="11"/>
    </row>
    <row r="382" spans="1:4" x14ac:dyDescent="0.25">
      <c r="A382" s="9">
        <v>46317</v>
      </c>
      <c r="B382" s="10"/>
      <c r="C382" s="10"/>
      <c r="D382" s="11"/>
    </row>
    <row r="383" spans="1:4" x14ac:dyDescent="0.25">
      <c r="A383" s="9">
        <v>46317</v>
      </c>
      <c r="B383" s="10"/>
      <c r="C383" s="10"/>
      <c r="D383" s="11"/>
    </row>
    <row r="384" spans="1:4" x14ac:dyDescent="0.25">
      <c r="A384" s="9">
        <v>46317</v>
      </c>
      <c r="B384" s="10"/>
      <c r="C384" s="10"/>
      <c r="D384" s="11"/>
    </row>
    <row r="385" spans="1:4" x14ac:dyDescent="0.25">
      <c r="A385" s="9">
        <v>46317</v>
      </c>
      <c r="B385" s="10"/>
      <c r="C385" s="10"/>
      <c r="D385" s="11"/>
    </row>
    <row r="386" spans="1:4" x14ac:dyDescent="0.25">
      <c r="A386" s="9">
        <v>46317</v>
      </c>
      <c r="B386" s="10"/>
      <c r="C386" s="10"/>
      <c r="D386" s="11"/>
    </row>
    <row r="387" spans="1:4" x14ac:dyDescent="0.25">
      <c r="A387" s="9">
        <v>46317</v>
      </c>
      <c r="B387" s="10"/>
      <c r="C387" s="10"/>
      <c r="D387" s="11"/>
    </row>
    <row r="388" spans="1:4" x14ac:dyDescent="0.25">
      <c r="A388" s="9">
        <v>46317</v>
      </c>
      <c r="B388" s="10"/>
      <c r="C388" s="10"/>
      <c r="D388" s="11"/>
    </row>
    <row r="389" spans="1:4" x14ac:dyDescent="0.25">
      <c r="A389" s="9">
        <v>46317</v>
      </c>
      <c r="B389" s="10"/>
      <c r="C389" s="10"/>
      <c r="D389" s="11"/>
    </row>
    <row r="390" spans="1:4" x14ac:dyDescent="0.25">
      <c r="A390" s="9">
        <v>46317</v>
      </c>
      <c r="B390" s="10"/>
      <c r="C390" s="10"/>
      <c r="D390" s="11"/>
    </row>
    <row r="391" spans="1:4" x14ac:dyDescent="0.25">
      <c r="A391" s="9">
        <v>46317</v>
      </c>
      <c r="B391" s="10"/>
      <c r="C391" s="10"/>
      <c r="D391" s="11"/>
    </row>
    <row r="392" spans="1:4" x14ac:dyDescent="0.25">
      <c r="A392" s="9">
        <v>46317</v>
      </c>
      <c r="B392" s="10"/>
      <c r="C392" s="10"/>
      <c r="D392" s="11"/>
    </row>
    <row r="393" spans="1:4" x14ac:dyDescent="0.25">
      <c r="A393" s="9">
        <v>46317</v>
      </c>
      <c r="B393" s="10"/>
      <c r="C393" s="10"/>
      <c r="D393" s="11"/>
    </row>
    <row r="394" spans="1:4" x14ac:dyDescent="0.25">
      <c r="A394" s="9">
        <v>46317</v>
      </c>
      <c r="B394" s="10"/>
      <c r="C394" s="10"/>
      <c r="D394" s="11"/>
    </row>
    <row r="395" spans="1:4" x14ac:dyDescent="0.25">
      <c r="A395" s="9">
        <v>46317</v>
      </c>
      <c r="B395" s="10"/>
      <c r="C395" s="10"/>
      <c r="D395" s="11"/>
    </row>
    <row r="396" spans="1:4" x14ac:dyDescent="0.25">
      <c r="A396" s="9">
        <v>46317</v>
      </c>
      <c r="B396" s="10"/>
      <c r="C396" s="10"/>
      <c r="D396" s="11"/>
    </row>
    <row r="397" spans="1:4" x14ac:dyDescent="0.25">
      <c r="A397" s="9">
        <v>46317</v>
      </c>
      <c r="B397" s="10"/>
      <c r="C397" s="10"/>
      <c r="D397" s="11"/>
    </row>
    <row r="398" spans="1:4" x14ac:dyDescent="0.25">
      <c r="A398" s="9">
        <v>46317</v>
      </c>
      <c r="B398" s="10"/>
      <c r="C398" s="10"/>
      <c r="D398" s="11"/>
    </row>
    <row r="399" spans="1:4" x14ac:dyDescent="0.25">
      <c r="A399" s="9">
        <v>46317</v>
      </c>
      <c r="B399" s="10"/>
      <c r="C399" s="10"/>
      <c r="D399" s="11"/>
    </row>
    <row r="400" spans="1:4" x14ac:dyDescent="0.25">
      <c r="A400" s="9">
        <v>46317</v>
      </c>
      <c r="B400" s="10"/>
      <c r="C400" s="10"/>
      <c r="D400" s="11"/>
    </row>
    <row r="401" spans="1:4" x14ac:dyDescent="0.25">
      <c r="A401" s="9">
        <v>46317</v>
      </c>
      <c r="B401" s="10"/>
      <c r="C401" s="10"/>
      <c r="D401" s="11"/>
    </row>
    <row r="402" spans="1:4" x14ac:dyDescent="0.25">
      <c r="A402" s="9">
        <v>46317</v>
      </c>
      <c r="B402" s="10"/>
      <c r="C402" s="10"/>
      <c r="D402" s="11"/>
    </row>
    <row r="403" spans="1:4" x14ac:dyDescent="0.25">
      <c r="A403" s="9">
        <v>46317</v>
      </c>
      <c r="B403" s="10"/>
      <c r="C403" s="10"/>
      <c r="D403" s="11"/>
    </row>
    <row r="404" spans="1:4" x14ac:dyDescent="0.25">
      <c r="A404" s="9">
        <v>46317</v>
      </c>
      <c r="B404" s="10"/>
      <c r="C404" s="10"/>
      <c r="D404" s="11"/>
    </row>
    <row r="405" spans="1:4" x14ac:dyDescent="0.25">
      <c r="A405" s="9">
        <v>46317</v>
      </c>
      <c r="B405" s="10"/>
      <c r="C405" s="10"/>
      <c r="D405" s="11"/>
    </row>
    <row r="406" spans="1:4" x14ac:dyDescent="0.25">
      <c r="A406" s="9">
        <v>46317</v>
      </c>
      <c r="B406" s="10"/>
      <c r="C406" s="10"/>
      <c r="D406" s="11"/>
    </row>
    <row r="407" spans="1:4" x14ac:dyDescent="0.25">
      <c r="A407" s="9">
        <v>46317</v>
      </c>
      <c r="B407" s="10"/>
      <c r="C407" s="10"/>
      <c r="D407" s="11"/>
    </row>
    <row r="408" spans="1:4" x14ac:dyDescent="0.25">
      <c r="A408" s="9">
        <v>46317</v>
      </c>
      <c r="B408" s="10"/>
      <c r="C408" s="10"/>
      <c r="D408" s="11"/>
    </row>
    <row r="409" spans="1:4" x14ac:dyDescent="0.25">
      <c r="A409" s="9">
        <v>46317</v>
      </c>
      <c r="B409" s="10"/>
      <c r="C409" s="10"/>
      <c r="D409" s="11"/>
    </row>
    <row r="410" spans="1:4" x14ac:dyDescent="0.25">
      <c r="A410" s="9">
        <v>46317</v>
      </c>
      <c r="B410" s="10"/>
      <c r="C410" s="10"/>
      <c r="D410" s="11"/>
    </row>
    <row r="411" spans="1:4" x14ac:dyDescent="0.25">
      <c r="A411" s="9">
        <v>46317</v>
      </c>
      <c r="B411" s="10"/>
      <c r="C411" s="10"/>
      <c r="D411" s="11"/>
    </row>
    <row r="412" spans="1:4" x14ac:dyDescent="0.25">
      <c r="A412" s="9">
        <v>46317</v>
      </c>
      <c r="B412" s="10"/>
      <c r="C412" s="10"/>
      <c r="D412" s="11"/>
    </row>
    <row r="413" spans="1:4" x14ac:dyDescent="0.25">
      <c r="A413" s="9">
        <v>46317</v>
      </c>
      <c r="B413" s="10"/>
      <c r="C413" s="10"/>
      <c r="D413" s="11"/>
    </row>
    <row r="414" spans="1:4" x14ac:dyDescent="0.25">
      <c r="A414" s="9">
        <v>46317</v>
      </c>
      <c r="B414" s="10"/>
      <c r="C414" s="10"/>
      <c r="D414" s="11"/>
    </row>
    <row r="415" spans="1:4" x14ac:dyDescent="0.25">
      <c r="A415" s="9">
        <v>46317</v>
      </c>
      <c r="B415" s="10"/>
      <c r="C415" s="10"/>
      <c r="D415" s="11"/>
    </row>
    <row r="416" spans="1:4" x14ac:dyDescent="0.25">
      <c r="A416" s="9">
        <v>46317</v>
      </c>
      <c r="B416" s="10"/>
      <c r="C416" s="10"/>
      <c r="D416" s="11"/>
    </row>
    <row r="417" spans="1:4" x14ac:dyDescent="0.25">
      <c r="A417" s="9">
        <v>46317</v>
      </c>
      <c r="B417" s="10"/>
      <c r="C417" s="10"/>
      <c r="D417" s="11"/>
    </row>
    <row r="418" spans="1:4" x14ac:dyDescent="0.25">
      <c r="A418" s="9">
        <v>46317</v>
      </c>
      <c r="B418" s="10"/>
      <c r="C418" s="10"/>
      <c r="D418" s="11"/>
    </row>
    <row r="419" spans="1:4" x14ac:dyDescent="0.25">
      <c r="A419" s="9">
        <v>46317</v>
      </c>
      <c r="B419" s="10"/>
      <c r="C419" s="10"/>
      <c r="D419" s="11"/>
    </row>
    <row r="420" spans="1:4" x14ac:dyDescent="0.25">
      <c r="A420" s="9">
        <v>46317</v>
      </c>
      <c r="B420" s="10"/>
      <c r="C420" s="10"/>
      <c r="D420" s="11"/>
    </row>
    <row r="421" spans="1:4" x14ac:dyDescent="0.25">
      <c r="A421" s="9">
        <v>46317</v>
      </c>
      <c r="B421" s="10"/>
      <c r="C421" s="10"/>
      <c r="D421" s="11"/>
    </row>
    <row r="422" spans="1:4" x14ac:dyDescent="0.25">
      <c r="A422" s="9">
        <v>46317</v>
      </c>
      <c r="B422" s="10"/>
      <c r="C422" s="10"/>
      <c r="D422" s="11"/>
    </row>
    <row r="423" spans="1:4" x14ac:dyDescent="0.25">
      <c r="A423" s="9">
        <v>46317</v>
      </c>
      <c r="B423" s="10"/>
      <c r="C423" s="10"/>
      <c r="D423" s="11"/>
    </row>
    <row r="424" spans="1:4" x14ac:dyDescent="0.25">
      <c r="A424" s="9">
        <v>46317</v>
      </c>
      <c r="B424" s="10"/>
      <c r="C424" s="10"/>
      <c r="D424" s="11"/>
    </row>
    <row r="425" spans="1:4" x14ac:dyDescent="0.25">
      <c r="A425" s="9">
        <v>46317</v>
      </c>
      <c r="B425" s="10"/>
      <c r="C425" s="10"/>
      <c r="D425" s="11"/>
    </row>
    <row r="426" spans="1:4" x14ac:dyDescent="0.25">
      <c r="A426" s="9">
        <v>46317</v>
      </c>
      <c r="B426" s="10"/>
      <c r="C426" s="10"/>
      <c r="D426" s="11"/>
    </row>
    <row r="427" spans="1:4" x14ac:dyDescent="0.25">
      <c r="A427" s="9">
        <v>46317</v>
      </c>
      <c r="B427" s="10"/>
      <c r="C427" s="10"/>
      <c r="D427" s="11"/>
    </row>
    <row r="428" spans="1:4" x14ac:dyDescent="0.25">
      <c r="A428" s="9">
        <v>46317</v>
      </c>
      <c r="B428" s="10"/>
      <c r="C428" s="10"/>
      <c r="D428" s="11"/>
    </row>
    <row r="429" spans="1:4" x14ac:dyDescent="0.25">
      <c r="A429" s="9">
        <v>46317</v>
      </c>
      <c r="B429" s="10"/>
      <c r="C429" s="10"/>
      <c r="D429" s="11"/>
    </row>
    <row r="430" spans="1:4" x14ac:dyDescent="0.25">
      <c r="A430" s="9">
        <v>46317</v>
      </c>
      <c r="B430" s="10"/>
      <c r="C430" s="10"/>
      <c r="D430" s="11"/>
    </row>
    <row r="431" spans="1:4" x14ac:dyDescent="0.25">
      <c r="A431" s="9">
        <v>46317</v>
      </c>
      <c r="B431" s="10"/>
      <c r="C431" s="10"/>
      <c r="D431" s="11"/>
    </row>
    <row r="432" spans="1:4" x14ac:dyDescent="0.25">
      <c r="A432" s="9">
        <v>46317</v>
      </c>
      <c r="B432" s="10"/>
      <c r="C432" s="10"/>
      <c r="D432" s="11"/>
    </row>
    <row r="433" spans="1:4" x14ac:dyDescent="0.25">
      <c r="A433" s="9">
        <v>46317</v>
      </c>
      <c r="B433" s="10"/>
      <c r="C433" s="10"/>
      <c r="D433" s="11"/>
    </row>
    <row r="434" spans="1:4" x14ac:dyDescent="0.25">
      <c r="A434" s="9">
        <v>46317</v>
      </c>
      <c r="B434" s="10"/>
      <c r="C434" s="10"/>
      <c r="D434" s="11"/>
    </row>
    <row r="435" spans="1:4" x14ac:dyDescent="0.25">
      <c r="A435" s="9">
        <v>46317</v>
      </c>
      <c r="B435" s="10"/>
      <c r="C435" s="10"/>
      <c r="D435" s="11"/>
    </row>
    <row r="436" spans="1:4" x14ac:dyDescent="0.25">
      <c r="A436" s="9">
        <v>46317</v>
      </c>
      <c r="B436" s="10"/>
      <c r="C436" s="10"/>
      <c r="D436" s="11"/>
    </row>
    <row r="437" spans="1:4" x14ac:dyDescent="0.25">
      <c r="A437" s="9">
        <v>46317</v>
      </c>
      <c r="B437" s="10"/>
      <c r="C437" s="10"/>
      <c r="D437" s="11"/>
    </row>
    <row r="438" spans="1:4" x14ac:dyDescent="0.25">
      <c r="A438" s="9">
        <v>46317</v>
      </c>
      <c r="B438" s="10"/>
      <c r="C438" s="10"/>
      <c r="D438" s="11"/>
    </row>
    <row r="439" spans="1:4" x14ac:dyDescent="0.25">
      <c r="A439" s="9">
        <v>46317</v>
      </c>
      <c r="B439" s="10"/>
      <c r="C439" s="10"/>
      <c r="D439" s="11"/>
    </row>
    <row r="440" spans="1:4" x14ac:dyDescent="0.25">
      <c r="A440" s="9">
        <v>46317</v>
      </c>
      <c r="B440" s="10"/>
      <c r="C440" s="10"/>
      <c r="D440" s="11"/>
    </row>
    <row r="441" spans="1:4" x14ac:dyDescent="0.25">
      <c r="A441" s="9">
        <v>46317</v>
      </c>
      <c r="B441" s="10"/>
      <c r="C441" s="10"/>
      <c r="D441" s="11"/>
    </row>
    <row r="442" spans="1:4" x14ac:dyDescent="0.25">
      <c r="A442" s="9">
        <v>46317</v>
      </c>
      <c r="B442" s="10"/>
      <c r="C442" s="10"/>
      <c r="D442" s="11"/>
    </row>
    <row r="443" spans="1:4" x14ac:dyDescent="0.25">
      <c r="A443" s="9">
        <v>46317</v>
      </c>
      <c r="B443" s="10"/>
      <c r="C443" s="10"/>
      <c r="D443" s="11"/>
    </row>
    <row r="444" spans="1:4" x14ac:dyDescent="0.25">
      <c r="A444" s="9">
        <v>46317</v>
      </c>
      <c r="B444" s="10"/>
      <c r="C444" s="10"/>
      <c r="D444" s="11"/>
    </row>
    <row r="445" spans="1:4" x14ac:dyDescent="0.25">
      <c r="A445" s="9">
        <v>46317</v>
      </c>
      <c r="B445" s="10"/>
      <c r="C445" s="10"/>
      <c r="D445" s="11"/>
    </row>
    <row r="446" spans="1:4" x14ac:dyDescent="0.25">
      <c r="A446" s="9">
        <v>46317</v>
      </c>
      <c r="B446" s="10"/>
      <c r="C446" s="10"/>
      <c r="D446" s="11"/>
    </row>
    <row r="447" spans="1:4" x14ac:dyDescent="0.25">
      <c r="A447" s="9">
        <v>46317</v>
      </c>
      <c r="B447" s="10"/>
      <c r="C447" s="10"/>
      <c r="D447" s="11"/>
    </row>
    <row r="448" spans="1:4" x14ac:dyDescent="0.25">
      <c r="A448" s="9">
        <v>46317</v>
      </c>
      <c r="B448" s="10"/>
      <c r="C448" s="10"/>
      <c r="D448" s="11"/>
    </row>
    <row r="449" spans="1:4" x14ac:dyDescent="0.25">
      <c r="A449" s="9">
        <v>46317</v>
      </c>
      <c r="B449" s="10"/>
      <c r="C449" s="10"/>
      <c r="D449" s="11"/>
    </row>
    <row r="450" spans="1:4" x14ac:dyDescent="0.25">
      <c r="A450" s="9">
        <v>46317</v>
      </c>
      <c r="B450" s="10"/>
      <c r="C450" s="10"/>
      <c r="D450" s="11"/>
    </row>
    <row r="451" spans="1:4" x14ac:dyDescent="0.25">
      <c r="A451" s="9">
        <v>46317</v>
      </c>
      <c r="B451" s="10"/>
      <c r="C451" s="10"/>
      <c r="D451" s="11"/>
    </row>
    <row r="452" spans="1:4" x14ac:dyDescent="0.25">
      <c r="A452" s="9">
        <v>46317</v>
      </c>
      <c r="B452" s="10"/>
      <c r="C452" s="10"/>
      <c r="D452" s="11"/>
    </row>
    <row r="453" spans="1:4" x14ac:dyDescent="0.25">
      <c r="A453" s="9">
        <v>46317</v>
      </c>
      <c r="B453" s="10"/>
      <c r="C453" s="10"/>
      <c r="D453" s="11"/>
    </row>
    <row r="454" spans="1:4" x14ac:dyDescent="0.25">
      <c r="A454" s="9">
        <v>46317</v>
      </c>
      <c r="B454" s="10"/>
      <c r="C454" s="10"/>
      <c r="D454" s="11"/>
    </row>
    <row r="455" spans="1:4" x14ac:dyDescent="0.25">
      <c r="A455" s="9">
        <v>46317</v>
      </c>
      <c r="B455" s="10"/>
      <c r="C455" s="10"/>
      <c r="D455" s="11"/>
    </row>
    <row r="456" spans="1:4" x14ac:dyDescent="0.25">
      <c r="A456" s="9">
        <v>46317</v>
      </c>
      <c r="B456" s="10"/>
      <c r="C456" s="10"/>
      <c r="D456" s="11"/>
    </row>
    <row r="457" spans="1:4" x14ac:dyDescent="0.25">
      <c r="A457" s="9">
        <v>46317</v>
      </c>
      <c r="B457" s="10"/>
      <c r="C457" s="10"/>
      <c r="D457" s="11"/>
    </row>
    <row r="458" spans="1:4" x14ac:dyDescent="0.25">
      <c r="A458" s="9">
        <v>46317</v>
      </c>
      <c r="B458" s="10"/>
      <c r="C458" s="10"/>
      <c r="D458" s="11"/>
    </row>
    <row r="459" spans="1:4" x14ac:dyDescent="0.25">
      <c r="A459" s="9">
        <v>46317</v>
      </c>
      <c r="B459" s="10"/>
      <c r="C459" s="10"/>
      <c r="D459" s="11"/>
    </row>
    <row r="460" spans="1:4" x14ac:dyDescent="0.25">
      <c r="A460" s="9">
        <v>46317</v>
      </c>
      <c r="B460" s="10"/>
      <c r="C460" s="10"/>
      <c r="D460" s="11"/>
    </row>
    <row r="461" spans="1:4" x14ac:dyDescent="0.25">
      <c r="A461" s="9">
        <v>46317</v>
      </c>
      <c r="B461" s="10"/>
      <c r="C461" s="10"/>
      <c r="D461" s="11"/>
    </row>
    <row r="462" spans="1:4" x14ac:dyDescent="0.25">
      <c r="A462" s="9">
        <v>46317</v>
      </c>
      <c r="B462" s="10"/>
      <c r="C462" s="10"/>
      <c r="D462" s="11"/>
    </row>
    <row r="463" spans="1:4" x14ac:dyDescent="0.25">
      <c r="A463" s="9">
        <v>46317</v>
      </c>
      <c r="B463" s="10"/>
      <c r="C463" s="10"/>
      <c r="D463" s="11"/>
    </row>
    <row r="464" spans="1:4" x14ac:dyDescent="0.25">
      <c r="A464" s="9">
        <v>46317</v>
      </c>
      <c r="B464" s="10"/>
      <c r="C464" s="10"/>
      <c r="D464" s="11"/>
    </row>
    <row r="465" spans="1:4" x14ac:dyDescent="0.25">
      <c r="A465" s="9">
        <v>46317</v>
      </c>
      <c r="B465" s="10"/>
      <c r="C465" s="10"/>
      <c r="D465" s="11"/>
    </row>
    <row r="466" spans="1:4" x14ac:dyDescent="0.25">
      <c r="A466" s="9">
        <v>46317</v>
      </c>
      <c r="B466" s="10"/>
      <c r="C466" s="10"/>
      <c r="D466" s="11"/>
    </row>
    <row r="467" spans="1:4" x14ac:dyDescent="0.25">
      <c r="A467" s="9">
        <v>46317</v>
      </c>
      <c r="B467" s="10"/>
      <c r="C467" s="10"/>
      <c r="D467" s="11"/>
    </row>
    <row r="468" spans="1:4" x14ac:dyDescent="0.25">
      <c r="A468" s="9">
        <v>46317</v>
      </c>
      <c r="B468" s="10"/>
      <c r="C468" s="10"/>
      <c r="D468" s="11"/>
    </row>
    <row r="469" spans="1:4" x14ac:dyDescent="0.25">
      <c r="A469" s="9">
        <v>46317</v>
      </c>
      <c r="B469" s="10"/>
      <c r="C469" s="10"/>
      <c r="D469" s="11"/>
    </row>
    <row r="470" spans="1:4" x14ac:dyDescent="0.25">
      <c r="A470" s="9">
        <v>46317</v>
      </c>
      <c r="B470" s="10"/>
      <c r="C470" s="10"/>
      <c r="D470" s="11"/>
    </row>
    <row r="471" spans="1:4" x14ac:dyDescent="0.25">
      <c r="A471" s="9">
        <v>46317</v>
      </c>
      <c r="B471" s="10"/>
      <c r="C471" s="10"/>
      <c r="D471" s="11"/>
    </row>
    <row r="472" spans="1:4" x14ac:dyDescent="0.25">
      <c r="A472" s="9">
        <v>46317</v>
      </c>
      <c r="B472" s="10"/>
      <c r="C472" s="10"/>
      <c r="D472" s="11"/>
    </row>
    <row r="473" spans="1:4" x14ac:dyDescent="0.25">
      <c r="A473" s="9">
        <v>46317</v>
      </c>
      <c r="B473" s="10"/>
      <c r="C473" s="10"/>
      <c r="D473" s="11"/>
    </row>
    <row r="474" spans="1:4" x14ac:dyDescent="0.25">
      <c r="A474" s="9">
        <v>46317</v>
      </c>
      <c r="B474" s="10"/>
      <c r="C474" s="10"/>
      <c r="D474" s="11"/>
    </row>
    <row r="475" spans="1:4" x14ac:dyDescent="0.25">
      <c r="A475" s="9">
        <v>46317</v>
      </c>
      <c r="B475" s="10"/>
      <c r="C475" s="10"/>
      <c r="D475" s="11"/>
    </row>
    <row r="476" spans="1:4" x14ac:dyDescent="0.25">
      <c r="A476" s="9">
        <v>46317</v>
      </c>
      <c r="B476" s="10"/>
      <c r="C476" s="10"/>
      <c r="D476" s="11"/>
    </row>
    <row r="477" spans="1:4" x14ac:dyDescent="0.25">
      <c r="A477" s="9">
        <v>46317</v>
      </c>
      <c r="B477" s="10"/>
      <c r="C477" s="10"/>
      <c r="D477" s="11"/>
    </row>
    <row r="478" spans="1:4" x14ac:dyDescent="0.25">
      <c r="A478" s="9">
        <v>46317</v>
      </c>
      <c r="B478" s="10"/>
      <c r="C478" s="10"/>
      <c r="D478" s="11"/>
    </row>
    <row r="479" spans="1:4" x14ac:dyDescent="0.25">
      <c r="A479" s="9">
        <v>46317</v>
      </c>
      <c r="B479" s="10"/>
      <c r="C479" s="10"/>
      <c r="D479" s="11"/>
    </row>
    <row r="480" spans="1:4" x14ac:dyDescent="0.25">
      <c r="A480" s="9">
        <v>46317</v>
      </c>
      <c r="B480" s="10"/>
      <c r="C480" s="10"/>
      <c r="D480" s="11"/>
    </row>
    <row r="481" spans="1:4" x14ac:dyDescent="0.25">
      <c r="A481" s="9">
        <v>46317</v>
      </c>
      <c r="B481" s="10"/>
      <c r="C481" s="10"/>
      <c r="D481" s="11"/>
    </row>
    <row r="482" spans="1:4" x14ac:dyDescent="0.25">
      <c r="A482" s="9">
        <v>46317</v>
      </c>
      <c r="B482" s="10"/>
      <c r="C482" s="10"/>
      <c r="D482" s="11"/>
    </row>
    <row r="483" spans="1:4" x14ac:dyDescent="0.25">
      <c r="A483" s="9">
        <v>46317</v>
      </c>
      <c r="B483" s="10"/>
      <c r="C483" s="10"/>
      <c r="D483" s="11"/>
    </row>
    <row r="484" spans="1:4" x14ac:dyDescent="0.25">
      <c r="A484" s="9">
        <v>46317</v>
      </c>
      <c r="B484" s="10"/>
      <c r="C484" s="10"/>
      <c r="D484" s="11"/>
    </row>
    <row r="485" spans="1:4" x14ac:dyDescent="0.25">
      <c r="A485" s="9">
        <v>46317</v>
      </c>
      <c r="B485" s="10"/>
      <c r="C485" s="10"/>
      <c r="D485" s="11"/>
    </row>
    <row r="486" spans="1:4" x14ac:dyDescent="0.25">
      <c r="A486" s="9">
        <v>46317</v>
      </c>
      <c r="B486" s="10"/>
      <c r="C486" s="10"/>
      <c r="D486" s="11"/>
    </row>
    <row r="487" spans="1:4" x14ac:dyDescent="0.25">
      <c r="A487" s="9">
        <v>46317</v>
      </c>
      <c r="B487" s="10"/>
      <c r="C487" s="10"/>
      <c r="D487" s="11"/>
    </row>
    <row r="488" spans="1:4" x14ac:dyDescent="0.25">
      <c r="A488" s="9">
        <v>46317</v>
      </c>
      <c r="B488" s="10"/>
      <c r="C488" s="10"/>
      <c r="D488" s="11"/>
    </row>
    <row r="489" spans="1:4" x14ac:dyDescent="0.25">
      <c r="A489" s="9">
        <v>46317</v>
      </c>
      <c r="B489" s="10"/>
      <c r="C489" s="10"/>
      <c r="D489" s="11"/>
    </row>
    <row r="490" spans="1:4" x14ac:dyDescent="0.25">
      <c r="A490" s="9">
        <v>46317</v>
      </c>
      <c r="B490" s="10"/>
      <c r="C490" s="10"/>
      <c r="D490" s="11"/>
    </row>
    <row r="491" spans="1:4" x14ac:dyDescent="0.25">
      <c r="A491" s="9">
        <v>46317</v>
      </c>
      <c r="B491" s="10"/>
      <c r="C491" s="10"/>
      <c r="D491" s="11"/>
    </row>
    <row r="492" spans="1:4" x14ac:dyDescent="0.25">
      <c r="A492" s="9">
        <v>46317</v>
      </c>
      <c r="B492" s="10"/>
      <c r="C492" s="10"/>
      <c r="D492" s="11"/>
    </row>
    <row r="493" spans="1:4" x14ac:dyDescent="0.25">
      <c r="A493" s="9">
        <v>46317</v>
      </c>
      <c r="B493" s="10"/>
      <c r="C493" s="10"/>
      <c r="D493" s="11"/>
    </row>
    <row r="494" spans="1:4" x14ac:dyDescent="0.25">
      <c r="A494" s="9">
        <v>46317</v>
      </c>
      <c r="B494" s="10"/>
      <c r="C494" s="10"/>
      <c r="D494" s="11"/>
    </row>
    <row r="495" spans="1:4" x14ac:dyDescent="0.25">
      <c r="A495" s="9">
        <v>46317</v>
      </c>
      <c r="B495" s="10"/>
      <c r="C495" s="10"/>
      <c r="D495" s="11"/>
    </row>
    <row r="496" spans="1:4" x14ac:dyDescent="0.25">
      <c r="A496" s="9">
        <v>46317</v>
      </c>
      <c r="B496" s="10"/>
      <c r="C496" s="10"/>
      <c r="D496" s="11"/>
    </row>
    <row r="497" spans="1:4" x14ac:dyDescent="0.25">
      <c r="A497" s="9">
        <v>46317</v>
      </c>
      <c r="B497" s="10"/>
      <c r="C497" s="10"/>
      <c r="D497" s="11"/>
    </row>
    <row r="498" spans="1:4" x14ac:dyDescent="0.25">
      <c r="A498" s="9">
        <v>46317</v>
      </c>
      <c r="B498" s="10"/>
      <c r="C498" s="10"/>
      <c r="D498" s="11"/>
    </row>
    <row r="499" spans="1:4" x14ac:dyDescent="0.25">
      <c r="A499" s="9">
        <v>46317</v>
      </c>
      <c r="B499" s="10"/>
      <c r="C499" s="10"/>
      <c r="D499" s="11"/>
    </row>
    <row r="500" spans="1:4" x14ac:dyDescent="0.25">
      <c r="A500" s="9">
        <v>46317</v>
      </c>
      <c r="B500" s="10"/>
      <c r="C500" s="10"/>
      <c r="D500" s="11"/>
    </row>
    <row r="501" spans="1:4" x14ac:dyDescent="0.25">
      <c r="A501" s="9">
        <v>46317</v>
      </c>
      <c r="B501" s="10"/>
      <c r="C501" s="10"/>
      <c r="D501" s="11"/>
    </row>
    <row r="502" spans="1:4" x14ac:dyDescent="0.25">
      <c r="A502" s="9">
        <v>46317</v>
      </c>
      <c r="B502" s="10"/>
      <c r="C502" s="10"/>
      <c r="D502" s="11"/>
    </row>
    <row r="503" spans="1:4" x14ac:dyDescent="0.25">
      <c r="A503" s="9">
        <v>46317</v>
      </c>
      <c r="B503" s="10"/>
      <c r="C503" s="10"/>
      <c r="D503" s="11"/>
    </row>
    <row r="504" spans="1:4" x14ac:dyDescent="0.25">
      <c r="A504" s="9">
        <v>46317</v>
      </c>
      <c r="B504" s="10"/>
      <c r="C504" s="10"/>
      <c r="D504" s="11"/>
    </row>
    <row r="505" spans="1:4" x14ac:dyDescent="0.25">
      <c r="A505" s="9">
        <v>46317</v>
      </c>
      <c r="B505" s="10"/>
      <c r="C505" s="10"/>
      <c r="D505" s="11"/>
    </row>
  </sheetData>
  <sheetProtection sheet="1" objects="0" scenarios="0" selectLockedCells="0" selectUnlockedCells="0" formatCells="0" formatRows="0" insertRows="0" deleteRows="0"/>
  <mergeCells count="8">
    <mergeCell ref="A1:K1"/>
    <mergeCell ref="A2:D3"/>
    <mergeCell ref="H2:I2"/>
    <mergeCell ref="F3:K3"/>
    <mergeCell ref="A4:D4"/>
    <mergeCell ref="F4:K4"/>
    <mergeCell ref="A25:K25"/>
    <mergeCell ref="A26:K26"/>
  </mergeCells>
  <conditionalFormatting sqref="B6:D505">
    <cfRule type="expression" dxfId="0" priority="1">
      <formula>AND($D6&lt;&gt;"",$D6=0)</formula>
    </cfRule>
    <cfRule type="expression" dxfId="1" priority="2">
      <formula>AND($D5&lt;&gt;"",$D6="")</formula>
    </cfRule>
    <cfRule type="expression" dxfId="2" priority="3">
      <formula>$D5&lt;&gt;""</formula>
    </cfRule>
    <cfRule type="expression" dxfId="3" priority="4">
      <formula>$D5=""</formula>
    </cfRule>
  </conditionalFormatting>
  <conditionalFormatting sqref="F13:K19">
    <cfRule type="expression" dxfId="4" priority="1">
      <formula>$F13&lt;&gt;""</formula>
    </cfRule>
    <cfRule type="expression" dxfId="5" priority="2">
      <formula>AND($F12&lt;&gt;"",$F13="")</formula>
    </cfRule>
    <cfRule type="expression" dxfId="6" priority="3">
      <formula>$F12=""</formula>
    </cfRule>
  </conditionalFormatting>
  <conditionalFormatting sqref="I7:I12">
    <cfRule type="expression" dxfId="7" priority="4">
      <formula>AND($F7&lt;&gt;"",$H7&lt;&gt;"")</formula>
    </cfRule>
  </conditionalFormatting>
  <conditionalFormatting sqref="I13:I19">
    <cfRule type="expression" dxfId="8" priority="4">
      <formula>$F13&lt;&gt;""</formula>
    </cfRule>
    <cfRule type="expression" dxfId="9" priority="5">
      <formula>AND($F12&lt;&gt;"",$F13="")</formula>
    </cfRule>
  </conditionalFormatting>
  <conditionalFormatting sqref="F7:K12">
    <cfRule type="expression" dxfId="10" priority="1">
      <formula>$H7=""</formula>
    </cfRule>
  </conditionalFormatting>
  <conditionalFormatting sqref="F9:F19">
    <cfRule type="expression" dxfId="11" priority="6">
      <formula>AND($F9&lt;&gt;"",$G9="Marta")</formula>
    </cfRule>
    <cfRule type="expression" dxfId="12" priority="7">
      <formula>AND($F9&lt;&gt;"",$G9="Fondo ahorro")</formula>
    </cfRule>
  </conditionalFormatting>
  <conditionalFormatting sqref="I6:J19">
    <cfRule type="cellIs" dxfId="13" priority="4" operator="greaterThan">
      <formula>0</formula>
    </cfRule>
    <cfRule type="cellIs" dxfId="14" priority="5" operator="lessThan">
      <formula>0</formula>
    </cfRule>
  </conditionalFormatting>
  <dataValidations count="3">
    <dataValidation type="list" allowBlank="1" sqref="B6:B505">
      <formula1>ListaNombres</formula1>
    </dataValidation>
    <dataValidation type="list" allowBlank="1" sqref="C6:C505">
      <formula1>ListaNombres</formula1>
    </dataValidation>
    <dataValidation type="custom" allowBlank="1" showErrorMessage="1" errorStyle="stop" errorTitle="No hay tanto dinero" error="En la cuenta o inversión de la que sale el dinero no queda tanto. Escribe un importe más pequeño o mete antes el dinero desde el Exterior." sqref="D6:D505">
      <formula1>OR($D6=0,AND($D6&gt;0,OR($B6="Exterior",$D6&lt;=MAX(0,(SUMIFS($D$6:$D6,$C$6:$C6,$B6)-SUMIFS($D$6:$D6,$B$6:$B6,$B6)+$D6)*(1+IFERROR(VLOOKUP($B6,$F$6:$I$19,4,FALSE),0))))))</formula1>
    </dataValidation>
  </dataValidations>
  <pageMargins left="0.3" right="0.3" top="0.4" bottom="0.4" header="0" footer="0"/>
  <pageSetup paperSize="9" orientation="landscape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O17"/>
  <sheetViews>
    <sheetView workbookViewId="0" showGridLines="0"/>
  </sheetViews>
  <sheetFormatPr defaultRowHeight="15" outlineLevelRow="0" outlineLevelCol="0" x14ac:dyDescent="55"/>
  <cols>
    <col min="1" max="15" width="15" customWidth="1"/>
  </cols>
  <sheetData>
    <row r="1" ht="20" customHeight="1" spans="1:15" x14ac:dyDescent="0.25">
      <c r="A1" s="37" t="s">
        <v>32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</row>
    <row r="2" ht="20" customHeight="1" spans="1:15" x14ac:dyDescent="0.25">
      <c r="A2" s="5" t="s">
        <v>33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20" customHeight="1" x14ac:dyDescent="0.25"/>
    <row r="4" ht="20" customHeight="1" x14ac:dyDescent="0.25"/>
    <row r="5" ht="20" customHeight="1" x14ac:dyDescent="0.25"/>
    <row r="6" ht="20" customHeight="1" x14ac:dyDescent="0.25"/>
    <row r="7" ht="20" customHeight="1" x14ac:dyDescent="0.25"/>
    <row r="8" ht="20" customHeight="1" x14ac:dyDescent="0.25"/>
    <row r="9" ht="20" customHeight="1" x14ac:dyDescent="0.25"/>
    <row r="10" ht="20" customHeight="1" x14ac:dyDescent="0.25"/>
    <row r="11" ht="20" customHeight="1" x14ac:dyDescent="0.25"/>
    <row r="12" ht="20" customHeight="1" x14ac:dyDescent="0.25"/>
    <row r="13" ht="20" customHeight="1" x14ac:dyDescent="0.25"/>
    <row r="14" ht="20" customHeight="1" x14ac:dyDescent="0.25"/>
    <row r="15" ht="20" customHeight="1" x14ac:dyDescent="0.25"/>
    <row r="16" ht="20" customHeight="1" x14ac:dyDescent="0.25"/>
    <row r="17" ht="20" customHeight="1" x14ac:dyDescent="0.25"/>
  </sheetData>
  <mergeCells count="2">
    <mergeCell ref="A1:O1"/>
    <mergeCell ref="A2:O2"/>
  </mergeCells>
  <pageMargins left="0.3" right="0.3" top="0.4" bottom="0.4" header="0" footer="0"/>
  <pageSetup paperSize="9" orientation="landscape" horizontalDpi="4294967295" verticalDpi="4294967295" scale="100" fitToWidth="1" fitToHeight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766E"/>
    <pageSetUpPr fitToPage="1"/>
  </sheetPr>
  <dimension ref="A1:O35"/>
  <sheetViews>
    <sheetView workbookViewId="0" showGridLines="0"/>
  </sheetViews>
  <sheetFormatPr defaultRowHeight="15" outlineLevelRow="0" outlineLevelCol="0" x14ac:dyDescent="55"/>
  <cols>
    <col min="1" max="4" width="22" customWidth="1"/>
    <col min="5" max="5" width="23" customWidth="1"/>
    <col min="6" max="9" width="22" customWidth="1"/>
    <col min="10" max="10" width="23" customWidth="1"/>
    <col min="11" max="14" width="22" customWidth="1"/>
    <col min="15" max="15" width="3" customWidth="1"/>
  </cols>
  <sheetData>
    <row r="1" ht="19" customHeight="1" spans="1:15" x14ac:dyDescent="0.25">
      <c r="A1" s="37" t="s">
        <v>34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</row>
    <row r="2" ht="19" customHeight="1" spans="1:15" x14ac:dyDescent="0.25">
      <c r="A2" s="5" t="s">
        <v>35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19" customHeight="1" x14ac:dyDescent="0.25"/>
    <row r="4" ht="19" customHeight="1" spans="1:14" x14ac:dyDescent="0.25">
      <c r="A4" s="38" t="s">
        <v>36</v>
      </c>
      <c r="B4" s="38"/>
      <c r="C4" s="38"/>
      <c r="D4" s="38"/>
      <c r="F4" s="39" t="s">
        <v>37</v>
      </c>
      <c r="G4" s="39"/>
      <c r="H4" s="39"/>
      <c r="I4" s="39"/>
      <c r="K4" s="40" t="s">
        <v>38</v>
      </c>
      <c r="L4" s="40"/>
      <c r="M4" s="40"/>
      <c r="N4" s="40"/>
    </row>
    <row r="5" ht="19" customHeight="1" spans="1:14" x14ac:dyDescent="0.25">
      <c r="A5" s="38"/>
      <c r="B5" s="38"/>
      <c r="C5" s="38"/>
      <c r="D5" s="38"/>
      <c r="F5" s="39"/>
      <c r="G5" s="39"/>
      <c r="H5" s="39"/>
      <c r="I5" s="39"/>
      <c r="K5" s="40"/>
      <c r="L5" s="40"/>
      <c r="M5" s="40"/>
      <c r="N5" s="40"/>
    </row>
    <row r="6" ht="10" customHeight="1" x14ac:dyDescent="0.25"/>
    <row r="7" ht="19" customHeight="1" spans="1:14" x14ac:dyDescent="0.25">
      <c r="A7" s="41" t="s">
        <v>39</v>
      </c>
      <c r="B7" s="41"/>
      <c r="C7" s="41"/>
      <c r="D7" s="41"/>
      <c r="F7" s="41" t="s">
        <v>40</v>
      </c>
      <c r="G7" s="41"/>
      <c r="H7" s="41"/>
      <c r="I7" s="41"/>
      <c r="K7" s="41" t="s">
        <v>41</v>
      </c>
      <c r="L7" s="41"/>
      <c r="M7" s="41"/>
      <c r="N7" s="41"/>
    </row>
    <row r="8" ht="9" customHeight="1" x14ac:dyDescent="0.25"/>
    <row r="9" ht="19" customHeight="1" spans="1:14" x14ac:dyDescent="0.25">
      <c r="A9" s="42" t="s">
        <v>42</v>
      </c>
      <c r="B9" s="42"/>
      <c r="C9" s="42"/>
      <c r="D9" s="42"/>
      <c r="E9" s="43" t="s">
        <v>43</v>
      </c>
      <c r="F9" s="44" t="s">
        <v>44</v>
      </c>
      <c r="G9" s="44"/>
      <c r="H9" s="44"/>
      <c r="I9" s="44"/>
      <c r="J9" s="45" t="s">
        <v>45</v>
      </c>
      <c r="K9" s="46" t="s">
        <v>46</v>
      </c>
      <c r="L9" s="46"/>
      <c r="M9" s="46"/>
      <c r="N9" s="46"/>
    </row>
    <row r="10" ht="19" customHeight="1" spans="1:14" x14ac:dyDescent="0.25">
      <c r="A10" s="42"/>
      <c r="B10" s="42"/>
      <c r="C10" s="42"/>
      <c r="D10" s="42"/>
      <c r="E10" s="43"/>
      <c r="F10" s="44"/>
      <c r="G10" s="44"/>
      <c r="H10" s="44"/>
      <c r="I10" s="44"/>
      <c r="J10" s="45"/>
      <c r="K10" s="46"/>
      <c r="L10" s="46"/>
      <c r="M10" s="46"/>
      <c r="N10" s="46"/>
    </row>
    <row r="11" ht="6" customHeight="1" spans="1:14" x14ac:dyDescent="0.25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</row>
    <row r="12" ht="10" customHeight="1" x14ac:dyDescent="0.25"/>
    <row r="13" ht="19" customHeight="1" spans="1:14" x14ac:dyDescent="0.25">
      <c r="A13" s="42" t="s">
        <v>47</v>
      </c>
      <c r="B13" s="42"/>
      <c r="C13" s="42"/>
      <c r="D13" s="42"/>
      <c r="E13" s="43" t="s">
        <v>48</v>
      </c>
      <c r="F13" s="48" t="s">
        <v>19</v>
      </c>
      <c r="G13" s="48"/>
      <c r="H13" s="48"/>
      <c r="I13" s="48"/>
      <c r="J13" s="45" t="s">
        <v>48</v>
      </c>
      <c r="K13" s="49" t="s">
        <v>49</v>
      </c>
      <c r="L13" s="49"/>
      <c r="M13" s="49"/>
      <c r="N13" s="49"/>
    </row>
    <row r="14" ht="19" customHeight="1" spans="1:14" x14ac:dyDescent="0.25">
      <c r="A14" s="42"/>
      <c r="B14" s="42"/>
      <c r="C14" s="42"/>
      <c r="D14" s="42"/>
      <c r="E14" s="43"/>
      <c r="F14" s="48"/>
      <c r="G14" s="48"/>
      <c r="H14" s="48"/>
      <c r="I14" s="48"/>
      <c r="J14" s="45"/>
      <c r="K14" s="49"/>
      <c r="L14" s="49"/>
      <c r="M14" s="49"/>
      <c r="N14" s="49"/>
    </row>
    <row r="15" ht="6" customHeight="1" spans="1:14" x14ac:dyDescent="0.25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50"/>
    </row>
    <row r="16" ht="10" customHeight="1" x14ac:dyDescent="0.25"/>
    <row r="17" ht="19" customHeight="1" spans="1:14" x14ac:dyDescent="0.25">
      <c r="A17" s="42" t="s">
        <v>50</v>
      </c>
      <c r="B17" s="42"/>
      <c r="C17" s="42"/>
      <c r="D17" s="42"/>
      <c r="E17" s="43" t="s">
        <v>51</v>
      </c>
      <c r="F17" s="48" t="s">
        <v>19</v>
      </c>
      <c r="G17" s="48"/>
      <c r="H17" s="48"/>
      <c r="I17" s="48"/>
      <c r="J17" s="45" t="s">
        <v>51</v>
      </c>
      <c r="K17" s="46" t="s">
        <v>52</v>
      </c>
      <c r="L17" s="46"/>
      <c r="M17" s="46"/>
      <c r="N17" s="46"/>
    </row>
    <row r="18" ht="19" customHeight="1" spans="1:14" x14ac:dyDescent="0.25">
      <c r="A18" s="42"/>
      <c r="B18" s="42"/>
      <c r="C18" s="42"/>
      <c r="D18" s="42"/>
      <c r="E18" s="43"/>
      <c r="F18" s="48"/>
      <c r="G18" s="48"/>
      <c r="H18" s="48"/>
      <c r="I18" s="48"/>
      <c r="J18" s="45"/>
      <c r="K18" s="46"/>
      <c r="L18" s="46"/>
      <c r="M18" s="46"/>
      <c r="N18" s="46"/>
    </row>
    <row r="19" ht="6" customHeight="1" spans="1:14" x14ac:dyDescent="0.25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50"/>
      <c r="M19" s="50"/>
      <c r="N19" s="50"/>
    </row>
    <row r="20" ht="10" customHeight="1" x14ac:dyDescent="0.25"/>
    <row r="21" ht="19" customHeight="1" spans="1:14" x14ac:dyDescent="0.25">
      <c r="A21" s="42" t="s">
        <v>53</v>
      </c>
      <c r="B21" s="42"/>
      <c r="C21" s="42"/>
      <c r="D21" s="42"/>
      <c r="E21" s="43" t="s">
        <v>54</v>
      </c>
      <c r="F21" s="48" t="s">
        <v>19</v>
      </c>
      <c r="G21" s="48"/>
      <c r="H21" s="48"/>
      <c r="I21" s="48"/>
      <c r="J21" s="45" t="s">
        <v>54</v>
      </c>
      <c r="K21" s="46" t="s">
        <v>55</v>
      </c>
      <c r="L21" s="46"/>
      <c r="M21" s="46"/>
      <c r="N21" s="46"/>
    </row>
    <row r="22" ht="19" customHeight="1" spans="1:14" x14ac:dyDescent="0.25">
      <c r="A22" s="42"/>
      <c r="B22" s="42"/>
      <c r="C22" s="42"/>
      <c r="D22" s="42"/>
      <c r="E22" s="43"/>
      <c r="F22" s="48"/>
      <c r="G22" s="48"/>
      <c r="H22" s="48"/>
      <c r="I22" s="48"/>
      <c r="J22" s="45"/>
      <c r="K22" s="46"/>
      <c r="L22" s="46"/>
      <c r="M22" s="46"/>
      <c r="N22" s="46"/>
    </row>
    <row r="23" ht="6" customHeight="1" spans="1:14" x14ac:dyDescent="0.25">
      <c r="A23" s="47"/>
      <c r="B23" s="47"/>
      <c r="C23" s="47"/>
      <c r="D23" s="47"/>
      <c r="E23" s="47"/>
      <c r="F23" s="47"/>
      <c r="G23" s="47"/>
      <c r="H23" s="50"/>
      <c r="I23" s="50"/>
      <c r="J23" s="50"/>
      <c r="K23" s="50"/>
      <c r="L23" s="50"/>
      <c r="M23" s="50"/>
      <c r="N23" s="50"/>
    </row>
    <row r="24" ht="10" customHeight="1" x14ac:dyDescent="0.25"/>
    <row r="25" ht="19" customHeight="1" spans="1:14" x14ac:dyDescent="0.25">
      <c r="A25" s="42" t="s">
        <v>56</v>
      </c>
      <c r="B25" s="42"/>
      <c r="C25" s="42"/>
      <c r="D25" s="42"/>
      <c r="E25" s="43" t="s">
        <v>57</v>
      </c>
      <c r="F25" s="44" t="s">
        <v>44</v>
      </c>
      <c r="G25" s="44"/>
      <c r="H25" s="44"/>
      <c r="I25" s="44"/>
      <c r="J25" s="45" t="s">
        <v>45</v>
      </c>
      <c r="K25" s="46" t="s">
        <v>58</v>
      </c>
      <c r="L25" s="46"/>
      <c r="M25" s="46"/>
      <c r="N25" s="46"/>
    </row>
    <row r="26" ht="19" customHeight="1" spans="1:14" x14ac:dyDescent="0.25">
      <c r="A26" s="42"/>
      <c r="B26" s="42"/>
      <c r="C26" s="42"/>
      <c r="D26" s="42"/>
      <c r="E26" s="43"/>
      <c r="F26" s="44"/>
      <c r="G26" s="44"/>
      <c r="H26" s="44"/>
      <c r="I26" s="44"/>
      <c r="J26" s="45"/>
      <c r="K26" s="46"/>
      <c r="L26" s="46"/>
      <c r="M26" s="46"/>
      <c r="N26" s="46"/>
    </row>
    <row r="27" ht="6" customHeight="1" spans="1:14" x14ac:dyDescent="0.25">
      <c r="A27" s="47"/>
      <c r="B27" s="47"/>
      <c r="C27" s="47"/>
      <c r="D27" s="47"/>
      <c r="E27" s="47"/>
      <c r="F27" s="50"/>
      <c r="G27" s="50"/>
      <c r="H27" s="50"/>
      <c r="I27" s="50"/>
      <c r="J27" s="50"/>
      <c r="K27" s="50"/>
      <c r="L27" s="50"/>
      <c r="M27" s="50"/>
      <c r="N27" s="50"/>
    </row>
    <row r="28" ht="10" customHeight="1" x14ac:dyDescent="0.25"/>
    <row r="29" ht="19" customHeight="1" spans="1:14" x14ac:dyDescent="0.25">
      <c r="A29" s="42" t="s">
        <v>59</v>
      </c>
      <c r="B29" s="42"/>
      <c r="C29" s="42"/>
      <c r="D29" s="42"/>
      <c r="E29" s="43" t="s">
        <v>60</v>
      </c>
      <c r="F29" s="48" t="s">
        <v>19</v>
      </c>
      <c r="G29" s="48"/>
      <c r="H29" s="48"/>
      <c r="I29" s="48"/>
      <c r="J29" s="45" t="s">
        <v>60</v>
      </c>
      <c r="K29" s="46" t="s">
        <v>61</v>
      </c>
      <c r="L29" s="46"/>
      <c r="M29" s="46"/>
      <c r="N29" s="46"/>
    </row>
    <row r="30" ht="19" customHeight="1" spans="1:14" x14ac:dyDescent="0.25">
      <c r="A30" s="42"/>
      <c r="B30" s="42"/>
      <c r="C30" s="42"/>
      <c r="D30" s="42"/>
      <c r="E30" s="43"/>
      <c r="F30" s="48"/>
      <c r="G30" s="48"/>
      <c r="H30" s="48"/>
      <c r="I30" s="48"/>
      <c r="J30" s="45"/>
      <c r="K30" s="46"/>
      <c r="L30" s="46"/>
      <c r="M30" s="46"/>
      <c r="N30" s="46"/>
    </row>
    <row r="31" ht="6" customHeight="1" spans="1:14" x14ac:dyDescent="0.25">
      <c r="A31" s="47"/>
      <c r="B31" s="47"/>
      <c r="C31" s="47"/>
      <c r="D31" s="47"/>
      <c r="E31" s="50"/>
      <c r="F31" s="50"/>
      <c r="G31" s="50"/>
      <c r="H31" s="50"/>
      <c r="I31" s="50"/>
      <c r="J31" s="50"/>
      <c r="K31" s="50"/>
      <c r="L31" s="50"/>
      <c r="M31" s="50"/>
      <c r="N31" s="50"/>
    </row>
    <row r="32" ht="10" customHeight="1" x14ac:dyDescent="0.25"/>
    <row r="33" ht="19" customHeight="1" x14ac:dyDescent="0.25"/>
    <row r="34" ht="19" customHeight="1" x14ac:dyDescent="0.25"/>
    <row r="35" ht="19" customHeight="1" spans="1:15" x14ac:dyDescent="0.25">
      <c r="A35" s="5" t="s">
        <v>62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</row>
  </sheetData>
  <mergeCells count="39">
    <mergeCell ref="A1:O1"/>
    <mergeCell ref="A2:O2"/>
    <mergeCell ref="A4:D5"/>
    <mergeCell ref="F4:I5"/>
    <mergeCell ref="K4:N5"/>
    <mergeCell ref="A7:D7"/>
    <mergeCell ref="F7:I7"/>
    <mergeCell ref="K7:N7"/>
    <mergeCell ref="A9:D10"/>
    <mergeCell ref="F9:I10"/>
    <mergeCell ref="K9:N10"/>
    <mergeCell ref="E9:E10"/>
    <mergeCell ref="J9:J10"/>
    <mergeCell ref="A13:D14"/>
    <mergeCell ref="F13:I14"/>
    <mergeCell ref="K13:N14"/>
    <mergeCell ref="E13:E14"/>
    <mergeCell ref="J13:J14"/>
    <mergeCell ref="A17:D18"/>
    <mergeCell ref="F17:I18"/>
    <mergeCell ref="K17:N18"/>
    <mergeCell ref="E17:E18"/>
    <mergeCell ref="J17:J18"/>
    <mergeCell ref="A21:D22"/>
    <mergeCell ref="F21:I22"/>
    <mergeCell ref="K21:N22"/>
    <mergeCell ref="E21:E22"/>
    <mergeCell ref="J21:J22"/>
    <mergeCell ref="A25:D26"/>
    <mergeCell ref="F25:I26"/>
    <mergeCell ref="K25:N26"/>
    <mergeCell ref="E25:E26"/>
    <mergeCell ref="J25:J26"/>
    <mergeCell ref="A29:D30"/>
    <mergeCell ref="F29:I30"/>
    <mergeCell ref="K29:N30"/>
    <mergeCell ref="E29:E30"/>
    <mergeCell ref="J29:J30"/>
    <mergeCell ref="A35:O35"/>
  </mergeCells>
  <pageMargins left="0.3" right="0.3" top="0.4" bottom="0.4" header="0" footer="0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Movimientos</vt:lpstr>
      <vt:lpstr>Gráficos</vt:lpstr>
      <vt:lpstr>Mapa del dinero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 Inversiones</dc:creator>
  <dc:title/>
  <dc:subject/>
  <dc:description/>
  <cp:keywords/>
  <cp:category/>
  <cp:lastModifiedBy>Unknown</cp:lastModifiedBy>
  <dcterms:created xsi:type="dcterms:W3CDTF">2026-10-22T21:29:53Z</dcterms:created>
  <dcterms:modified xsi:type="dcterms:W3CDTF">2026-10-22T21:29:53Z</dcterms:modified>
</cp:coreProperties>
</file>