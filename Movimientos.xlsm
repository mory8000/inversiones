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.xml" ContentType="application/vnd.openxmlformats-officedocument.drawing+xml"/>
  <Override PartName="/xl/vbaProject.bin" ContentType="application/vnd.ms-office.vbaProject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codeName="ThisWorkbook" defaultThemeVersion="164011" filterPrivacy="1"/>
  <sheets>
    <sheet sheetId="1" name="Movimientos" state="visible" r:id="rId4"/>
    <sheet sheetId="2" name="Gráficos" state="visible" r:id="rId5"/>
  </sheets>
  <definedNames>
    <definedName name="ListaNombres">OFFSET('Movimientos'!$F$6,0,0,MAX(COUNTIF('Movimientos'!$F$6:$F$19,"?*"),1),1)</definedName>
    <definedName name="_xlnm.Print_Area" localSheetId="0">'Movimientos'!$A1:$O27</definedName>
    <definedName name="_xlnm.Print_Titles" localSheetId="0">'Movimientos'!$1:$5</definedName>
    <definedName name="_xlnm.Print_Area" localSheetId="1">'Gráficos'!$A1:$O25</definedName>
  </definedNames>
  <calcPr calcId="171027" fullCalcOnLoad="1"/>
</workbook>
</file>

<file path=xl/sharedStrings.xml><?xml version="1.0" encoding="utf-8"?>
<sst xmlns="http://schemas.openxmlformats.org/spreadsheetml/2006/main" count="88" uniqueCount="39">
  <si>
    <t>Myinvestor</t>
  </si>
  <si>
    <t>Escribe fecha, De, A e importe. Para crear un fondo o cartera, escribe su nombre nuevo en De o A; aparecerá en el resumen. Para quitarlo, borra todas sus referencias en De/A.</t>
  </si>
  <si>
    <t>Capital aportado</t>
  </si>
  <si>
    <t>+</t>
  </si>
  <si>
    <t>Rentabilidad</t>
  </si>
  <si>
    <t>=</t>
  </si>
  <si>
    <t>Saldo</t>
  </si>
  <si>
    <t>Resumen de cada cuenta, con lo invertido en cada inversión debajo; después, el total de cada cuenta, el de cada titular y el TOTAL.</t>
  </si>
  <si>
    <t>MOVIMIENTOS</t>
  </si>
  <si>
    <t>RESUMEN</t>
  </si>
  <si>
    <t>Fecha</t>
  </si>
  <si>
    <t>De  (de dónde sale)</t>
  </si>
  <si>
    <t>A  (a dónde va)</t>
  </si>
  <si>
    <t>Importe</t>
  </si>
  <si>
    <t>Inversiones</t>
  </si>
  <si>
    <t>Titular</t>
  </si>
  <si>
    <t>Rentab. %</t>
  </si>
  <si>
    <t>Rentab. €</t>
  </si>
  <si>
    <t>Exterior</t>
  </si>
  <si>
    <t>Cuenta Luis</t>
  </si>
  <si>
    <t>Luis</t>
  </si>
  <si>
    <t>cuenta</t>
  </si>
  <si>
    <t>Fondo indexado</t>
  </si>
  <si>
    <t>Vanguard Global Stock Index</t>
  </si>
  <si>
    <t>inversion</t>
  </si>
  <si>
    <t>Fidelity MSCI World Index</t>
  </si>
  <si>
    <t>Cartera indexada Metal</t>
  </si>
  <si>
    <t>Fondo ahorro</t>
  </si>
  <si>
    <t>iShares Developed World Index</t>
  </si>
  <si>
    <t>Total Cuenta Luis</t>
  </si>
  <si>
    <t>Total Fondo ahorro</t>
  </si>
  <si>
    <t>TOTAL</t>
  </si>
  <si>
    <t>Para añadir un fondo o cartera: escribe un nombre nuevo en De/A (hasta siete). Se refleja en el resumen; para quitarlo, elimina todas sus referencias De/A. Revisa el titular y % al borrar nombres anteriores.</t>
  </si>
  <si>
    <t>En el .xlsm, habilita macros en Excel de escritorio: al pasar un importe positivo a 0, De/A se limpian y los movimientos restantes suben. En el .xlsx sin macros hay que hacerlo a mano. Un movimiento que ya venía a 0 se conserva.</t>
  </si>
  <si>
    <t>Gráficos</t>
  </si>
  <si>
    <t>Todo sale de la hoja «Movimientos»: lo que cambies allí, cambia aquí.</t>
  </si>
  <si>
    <t>■ Aportado</t>
  </si>
  <si>
    <t>■ Rentabilidad</t>
  </si>
  <si>
    <t>■ Aportado + rentabilidad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</si>
</sst>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"/>
    <numFmt numFmtId="165" formatCode="#,##0.00 &quot;€&quot;"/>
    <numFmt numFmtId="166" formatCode="0.00 %"/>
  </numFmts>
  <fonts count="20" x14ac:knownFonts="1">
    <font>
      <color theme="1"/>
      <family val="2"/>
      <scheme val="minor"/>
      <sz val="11"/>
      <name val="Calibri"/>
    </font>
    <font>
      <b/>
      <color rgb="FF0F172A"/>
      <sz val="14"/>
    </font>
    <font>
      <color rgb="FF64748B"/>
      <sz val="9"/>
    </font>
    <font>
      <b/>
      <color rgb="FF1D4ED8"/>
      <sz val="10"/>
    </font>
    <font>
      <b/>
      <color rgb="FF64748B"/>
      <sz val="11"/>
    </font>
    <font>
      <i/>
      <color rgb="FF64748B"/>
      <sz val="9"/>
    </font>
    <font>
      <b/>
      <color rgb="FFFFFFFF"/>
      <sz val="11"/>
    </font>
    <font>
      <b/>
      <color rgb="FF334155"/>
      <sz val="10"/>
    </font>
    <font>
      <color rgb="FF0F172A"/>
      <sz val="10"/>
    </font>
    <font>
      <b/>
      <i/>
      <color rgb="FF0F172A"/>
      <sz val="10"/>
    </font>
    <font>
      <b/>
      <color rgb="FF0F172A"/>
      <sz val="10"/>
    </font>
    <font>
      <color rgb="FF2447B8"/>
      <sz val="10"/>
    </font>
    <font>
      <color rgb="FFEA580C"/>
      <sz val="10"/>
    </font>
    <font>
      <color rgb="FFFFFFFF"/>
      <sz val="10"/>
    </font>
    <font>
      <color rgb="FFFFFFFF"/>
      <sz val="9"/>
    </font>
    <font>
      <b/>
      <sz val="10"/>
    </font>
    <font>
      <b/>
      <color rgb="FF0F172A"/>
      <sz val="16"/>
    </font>
    <font>
      <b/>
      <color rgb="FF2563EB"/>
      <sz val="10"/>
    </font>
    <font>
      <b/>
      <color rgb="FFE67E22"/>
      <sz val="10"/>
    </font>
    <font>
      <b/>
      <color rgb="FF0F766E"/>
      <sz val="10"/>
    </font>
  </fonts>
  <fills count="6">
    <fill>
      <patternFill patternType="none"/>
    </fill>
    <fill>
      <patternFill patternType="gray125"/>
    </fill>
    <fill>
      <patternFill patternType="solid">
        <fgColor rgb="FFEFF6FF"/>
      </patternFill>
    </fill>
    <fill>
      <patternFill patternType="solid">
        <fgColor rgb="FF1D4ED8"/>
      </patternFill>
    </fill>
    <fill>
      <patternFill patternType="solid">
        <fgColor rgb="FFF1F5F9"/>
      </patternFill>
    </fill>
    <fill>
      <patternFill patternType="solid">
        <fgColor rgb="FFF8FAFC"/>
      </patternFill>
    </fill>
  </fills>
  <borders count="2">
    <border>
      <left/>
      <right/>
      <top/>
      <bottom/>
      <diagonal/>
    </border>
    <border>
      <left/>
      <right/>
      <top/>
      <bottom style="thin">
        <color rgb="FFD8DEE9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6" fillId="3" borderId="0" xfId="0" applyFont="1" applyFill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right" vertical="center"/>
    </xf>
    <xf numFmtId="164" fontId="8" fillId="0" borderId="0" xfId="0" applyNumberFormat="1" applyFont="1" applyProtection="1">
      <protection locked="0"/>
    </xf>
    <xf numFmtId="0" fontId="8" fillId="0" borderId="0" xfId="0" applyFont="1" applyProtection="1">
      <protection locked="0"/>
    </xf>
    <xf numFmtId="165" fontId="8" fillId="0" borderId="0" xfId="0" applyNumberFormat="1" applyFont="1" applyProtection="1">
      <protection locked="0"/>
    </xf>
    <xf numFmtId="0" fontId="9" fillId="0" borderId="0" xfId="0" applyFont="1"/>
    <xf numFmtId="0" fontId="0" fillId="5" borderId="0" xfId="0" applyFill="1"/>
    <xf numFmtId="0" fontId="10" fillId="0" borderId="1" xfId="0" applyFont="1" applyBorder="1" applyAlignment="1"/>
    <xf numFmtId="0" fontId="2" fillId="0" borderId="1" xfId="0" applyFont="1" applyBorder="1" applyAlignment="1" applyProtection="1">
      <alignment horizontal="center"/>
      <protection locked="0"/>
    </xf>
    <xf numFmtId="165" fontId="8" fillId="0" borderId="1" xfId="0" applyNumberFormat="1" applyFont="1" applyBorder="1"/>
    <xf numFmtId="166" fontId="8" fillId="0" borderId="1" xfId="0" applyNumberFormat="1" applyFont="1" applyBorder="1" applyProtection="1">
      <protection locked="0"/>
    </xf>
    <xf numFmtId="0" fontId="8" fillId="0" borderId="1" xfId="0" applyFont="1" applyBorder="1" applyAlignment="1">
      <alignment indent="1"/>
    </xf>
    <xf numFmtId="0" fontId="11" fillId="0" borderId="1" xfId="0" applyFont="1" applyBorder="1" applyAlignment="1">
      <alignment indent="1"/>
    </xf>
    <xf numFmtId="165" fontId="11" fillId="0" borderId="1" xfId="0" applyNumberFormat="1" applyFont="1" applyBorder="1"/>
    <xf numFmtId="166" fontId="11" fillId="0" borderId="1" xfId="0" applyNumberFormat="1" applyFont="1" applyBorder="1" applyProtection="1">
      <protection locked="0"/>
    </xf>
    <xf numFmtId="0" fontId="12" fillId="0" borderId="1" xfId="0" applyFont="1" applyBorder="1" applyAlignment="1"/>
    <xf numFmtId="165" fontId="12" fillId="0" borderId="1" xfId="0" applyNumberFormat="1" applyFont="1" applyBorder="1"/>
    <xf numFmtId="166" fontId="12" fillId="0" borderId="1" xfId="0" applyNumberFormat="1" applyFont="1" applyBorder="1" applyProtection="1">
      <protection locked="0"/>
    </xf>
    <xf numFmtId="0" fontId="13" fillId="0" borderId="0" xfId="0" applyFont="1" applyAlignment="1">
      <alignment indent="1"/>
    </xf>
    <xf numFmtId="0" fontId="14" fillId="0" borderId="0" xfId="0" applyFont="1" applyAlignment="1" applyProtection="1">
      <alignment horizontal="center"/>
      <protection locked="0"/>
    </xf>
    <xf numFmtId="165" fontId="13" fillId="0" borderId="0" xfId="0" applyNumberFormat="1" applyFont="1"/>
    <xf numFmtId="166" fontId="13" fillId="0" borderId="0" xfId="0" applyNumberFormat="1" applyFont="1" applyProtection="1">
      <protection locked="0"/>
    </xf>
    <xf numFmtId="0" fontId="10" fillId="4" borderId="0" xfId="0" applyFont="1" applyFill="1"/>
    <xf numFmtId="0" fontId="2" fillId="4" borderId="0" xfId="0" applyFont="1" applyFill="1" applyAlignment="1">
      <alignment horizontal="center"/>
    </xf>
    <xf numFmtId="165" fontId="15" fillId="4" borderId="0" xfId="0" applyNumberFormat="1" applyFont="1" applyFill="1" applyAlignment="1">
      <alignment horizontal="right"/>
    </xf>
    <xf numFmtId="166" fontId="15" fillId="4" borderId="0" xfId="0" applyNumberFormat="1" applyFont="1" applyFill="1" applyAlignment="1">
      <alignment horizontal="right"/>
    </xf>
    <xf numFmtId="0" fontId="6" fillId="3" borderId="0" xfId="0" applyFont="1" applyFill="1"/>
    <xf numFmtId="165" fontId="6" fillId="3" borderId="0" xfId="0" applyNumberFormat="1" applyFont="1" applyFill="1" applyAlignment="1">
      <alignment horizontal="right"/>
    </xf>
    <xf numFmtId="166" fontId="6" fillId="3" borderId="0" xfId="0" applyNumberFormat="1" applyFont="1" applyFill="1" applyAlignment="1">
      <alignment horizontal="right"/>
    </xf>
    <xf numFmtId="164" fontId="5" fillId="0" borderId="0" xfId="0" applyNumberFormat="1" applyFont="1" applyProtection="1">
      <protection locked="0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</cellXfs>
  <cellStyles count="1">
    <cellStyle name="Normal" xfId="0" builtinId="0"/>
  </cellStyles>
  <dxfs count="14">
    <dxf>
      <font>
        <color rgb="FF0F172A"/>
        <sz val="10"/>
      </font>
      <fill>
        <patternFill patternType="solid">
          <fgColor rgb="FFFEF3C7"/>
        </patternFill>
      </fill>
      <border>
        <left/>
        <right/>
        <top/>
        <bottom style="thin">
          <color rgb="FFD8DEE9"/>
        </bottom>
        <diagonal/>
      </border>
    </dxf>
    <dxf>
      <font>
        <color rgb="FF0F172A"/>
        <sz val="10"/>
      </font>
      <border>
        <left/>
        <right/>
        <top/>
        <bottom style="thin">
          <color rgb="FFD8DEE9"/>
        </bottom>
        <diagonal/>
      </border>
    </dxf>
    <dxf>
      <font>
        <color rgb="FFFFFFFF"/>
        <sz val="10"/>
      </font>
    </dxf>
    <dxf>
      <font>
        <color rgb="FF0F172A"/>
        <sz val="10"/>
      </font>
      <border>
        <left/>
        <right/>
        <top/>
        <bottom style="thin">
          <color rgb="FFD8DEE9"/>
        </bottom>
        <diagonal/>
      </border>
    </dxf>
    <dxf>
      <font>
        <color rgb="FF0F172A"/>
        <sz val="10"/>
      </font>
      <fill>
        <patternFill patternType="solid">
          <fgColor rgb="FFFFFBEB"/>
        </patternFill>
      </fill>
      <border>
        <left/>
        <right/>
        <top/>
        <bottom style="thin">
          <color rgb="FFD8DEE9"/>
        </bottom>
        <diagonal/>
      </border>
    </dxf>
    <dxf>
      <font>
        <color rgb="FFFFFFFF"/>
        <sz val="10"/>
      </font>
    </dxf>
    <dxf>
      <fill>
        <patternFill patternType="solid">
          <fgColor rgb="FFFFFBEB"/>
        </patternFill>
      </fill>
    </dxf>
    <dxf>
      <fill>
        <patternFill patternType="solid">
          <fgColor rgb="FFFFFBEB"/>
        </patternFill>
      </fill>
    </dxf>
    <dxf>
      <fill>
        <patternFill patternType="solid">
          <fgColor rgb="FFFFFBEB"/>
        </patternFill>
      </fill>
    </dxf>
    <dxf>
      <font>
        <color rgb="FFFFFFFF"/>
        <sz val="10"/>
      </font>
    </dxf>
    <dxf>
      <font>
        <color rgb="FF2447B8"/>
      </font>
    </dxf>
    <dxf>
      <font>
        <color rgb="FFEA580C"/>
      </font>
    </dxf>
    <dxf>
      <font>
        <color rgb="FF047857"/>
      </font>
    </dxf>
    <dxf>
      <font>
        <color rgb="FFB91C1C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roundedCorners val="0"/>
  <c:chart>
    <c:title>
      <c:tx>
        <c:rich>
          <a:bodyPr/>
          <a:lstStyle/>
          <a:p>
            <a:pPr>
              <a:defRPr sz="1000" b="0">
                <a:solidFill>
                  <a:srgbClr val="334155"/>
                </a:solidFill>
              </a:defRPr>
            </a:pPr>
            <a:r>
              <a:rPr lang="es-ES" sz="1000"/>
              <a:t>Luis</a:t>
            </a:r>
            <a:endParaRPr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07"/>
          <c:y val="0.14"/>
          <c:w val="0.86"/>
          <c:h val="0.75"/>
        </c:manualLayout>
      </c:layout>
      <c:barChart>
        <c:barDir val="col"/>
        <c:grouping val="clustered"/>
        <c:varyColors val="0"/>
        <c:ser>
          <c:idx val="0"/>
          <c:order val="0"/>
          <c:tx>
            <c:v>Aportado</c:v>
          </c:tx>
          <c:spPr>
            <a:solidFill>
              <a:srgbClr val="2563EB"/>
            </a:solidFill>
            <a:ln>
              <a:noFill/>
            </a:ln>
          </c:spPr>
          <c:invertIfNegative val="0"/>
          <c:dLbls>
            <c:numFmt formatCode="#,##0 &quot;€&quot;" sourceLinked="0"/>
            <c:txPr>
              <a:bodyPr/>
              <a:lstStyle/>
              <a:p>
                <a:pPr>
                  <a:defRPr sz="750" b="1"/>
                </a:pPr>
                <a:endParaRPr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Lit>
              <c:ptCount val="1"/>
              <c:pt idx="0">
                <c:v>Luis</c:v>
              </c:pt>
            </c:strLit>
          </c:cat>
          <c:val>
            <c:numRef>
              <c:f>Movimientos!$H$21</c:f>
            </c:numRef>
          </c:val>
        </c:ser>
        <c:ser>
          <c:idx val="1"/>
          <c:order val="1"/>
          <c:tx>
            <c:v>Rentabilidad</c:v>
          </c:tx>
          <c:spPr>
            <a:solidFill>
              <a:srgbClr val="E67E22"/>
            </a:solidFill>
            <a:ln>
              <a:noFill/>
            </a:ln>
          </c:spPr>
          <c:invertIfNegative val="0"/>
          <c:dLbls>
            <c:numFmt formatCode="#,##0 &quot;€&quot;" sourceLinked="0"/>
            <c:txPr>
              <a:bodyPr/>
              <a:lstStyle/>
              <a:p>
                <a:pPr>
                  <a:defRPr sz="750" b="1"/>
                </a:pPr>
                <a:endParaRPr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Lit>
              <c:ptCount val="1"/>
              <c:pt idx="0">
                <c:v>Luis</c:v>
              </c:pt>
            </c:strLit>
          </c:cat>
          <c:val>
            <c:numRef>
              <c:f>Movimientos!$J$21</c:f>
            </c:numRef>
          </c:val>
        </c:ser>
        <c:ser>
          <c:idx val="2"/>
          <c:order val="2"/>
          <c:tx>
            <c:v>Aportado + rentabilidad</c:v>
          </c:tx>
          <c:spPr>
            <a:solidFill>
              <a:srgbClr val="0F766E"/>
            </a:solidFill>
            <a:ln>
              <a:noFill/>
            </a:ln>
          </c:spPr>
          <c:invertIfNegative val="0"/>
          <c:dLbls>
            <c:numFmt formatCode="#,##0 &quot;€&quot;" sourceLinked="0"/>
            <c:txPr>
              <a:bodyPr/>
              <a:lstStyle/>
              <a:p>
                <a:pPr>
                  <a:defRPr sz="750" b="1"/>
                </a:pPr>
                <a:endParaRPr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Lit>
              <c:ptCount val="1"/>
              <c:pt idx="0">
                <c:v>Luis</c:v>
              </c:pt>
            </c:strLit>
          </c:cat>
          <c:val>
            <c:numRef>
              <c:f>Movimientos!$K$21</c:f>
            </c:numRef>
          </c:val>
        </c:ser>
        <c:gapWidth val="60"/>
        <c:overlap val="-20"/>
        <c:axId val="100000001"/>
        <c:axId val="100000002"/>
      </c:barChart>
      <c:catAx>
        <c:axId val="100000001"/>
        <c:scaling>
          <c:orientation val="minMax"/>
        </c:scaling>
        <c:delete val="0"/>
        <c:axPos val="b"/>
        <c:majorTickMark val="none"/>
        <c:minorTickMark val="none"/>
        <c:tickLblPos val="none"/>
        <c:crossAx val="100000002"/>
        <c:crosses val="autoZero"/>
        <c:auto val="1"/>
        <c:lblAlgn val="ctr"/>
        <c:lblOffset val="100"/>
        <c:noMultiLvlLbl val="0"/>
      </c:catAx>
      <c:valAx>
        <c:axId val="100000002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one"/>
        <c:crossAx val="100000001"/>
        <c:crosses val="autoZero"/>
        <c:crossBetween val="between"/>
      </c:valAx>
    </c:plotArea>
    <c:plotVisOnly val="1"/>
    <c:dispBlanksAs val="gap"/>
  </c:chart>
  <c:spPr>
    <a:solidFill>
      <a:srgbClr val="FFFFFF"/>
    </a:solidFill>
    <a:ln>
      <a:solidFill>
        <a:srgbClr val="D8DEE9"/>
      </a:solidFill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roundedCorners val="0"/>
  <c:chart>
    <c:title>
      <c:tx>
        <c:rich>
          <a:bodyPr/>
          <a:lstStyle/>
          <a:p>
            <a:pPr>
              <a:defRPr sz="1000" b="0">
                <a:solidFill>
                  <a:srgbClr val="334155"/>
                </a:solidFill>
              </a:defRPr>
            </a:pPr>
            <a:r>
              <a:rPr lang="es-ES" sz="1000"/>
              <a:t>Fondo ahorro</a:t>
            </a:r>
            <a:endParaRPr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07"/>
          <c:y val="0.14"/>
          <c:w val="0.86"/>
          <c:h val="0.75"/>
        </c:manualLayout>
      </c:layout>
      <c:barChart>
        <c:barDir val="col"/>
        <c:grouping val="clustered"/>
        <c:varyColors val="0"/>
        <c:ser>
          <c:idx val="0"/>
          <c:order val="0"/>
          <c:tx>
            <c:v>Aportado</c:v>
          </c:tx>
          <c:spPr>
            <a:solidFill>
              <a:srgbClr val="2563EB"/>
            </a:solidFill>
            <a:ln>
              <a:noFill/>
            </a:ln>
          </c:spPr>
          <c:invertIfNegative val="0"/>
          <c:dLbls>
            <c:numFmt formatCode="#,##0 &quot;€&quot;" sourceLinked="0"/>
            <c:txPr>
              <a:bodyPr/>
              <a:lstStyle/>
              <a:p>
                <a:pPr>
                  <a:defRPr sz="750" b="1"/>
                </a:pPr>
                <a:endParaRPr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Lit>
              <c:ptCount val="1"/>
              <c:pt idx="0">
                <c:v>Fondo ahorro</c:v>
              </c:pt>
            </c:strLit>
          </c:cat>
          <c:val>
            <c:numRef>
              <c:f>Movimientos!$H$22</c:f>
            </c:numRef>
          </c:val>
        </c:ser>
        <c:ser>
          <c:idx val="1"/>
          <c:order val="1"/>
          <c:tx>
            <c:v>Rentabilidad</c:v>
          </c:tx>
          <c:spPr>
            <a:solidFill>
              <a:srgbClr val="E67E22"/>
            </a:solidFill>
            <a:ln>
              <a:noFill/>
            </a:ln>
          </c:spPr>
          <c:invertIfNegative val="0"/>
          <c:dLbls>
            <c:numFmt formatCode="#,##0 &quot;€&quot;" sourceLinked="0"/>
            <c:txPr>
              <a:bodyPr/>
              <a:lstStyle/>
              <a:p>
                <a:pPr>
                  <a:defRPr sz="750" b="1"/>
                </a:pPr>
                <a:endParaRPr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Lit>
              <c:ptCount val="1"/>
              <c:pt idx="0">
                <c:v>Fondo ahorro</c:v>
              </c:pt>
            </c:strLit>
          </c:cat>
          <c:val>
            <c:numRef>
              <c:f>Movimientos!$J$22</c:f>
            </c:numRef>
          </c:val>
        </c:ser>
        <c:ser>
          <c:idx val="2"/>
          <c:order val="2"/>
          <c:tx>
            <c:v>Aportado + rentabilidad</c:v>
          </c:tx>
          <c:spPr>
            <a:solidFill>
              <a:srgbClr val="0F766E"/>
            </a:solidFill>
            <a:ln>
              <a:noFill/>
            </a:ln>
          </c:spPr>
          <c:invertIfNegative val="0"/>
          <c:dLbls>
            <c:numFmt formatCode="#,##0 &quot;€&quot;" sourceLinked="0"/>
            <c:txPr>
              <a:bodyPr/>
              <a:lstStyle/>
              <a:p>
                <a:pPr>
                  <a:defRPr sz="750" b="1"/>
                </a:pPr>
                <a:endParaRPr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Lit>
              <c:ptCount val="1"/>
              <c:pt idx="0">
                <c:v>Fondo ahorro</c:v>
              </c:pt>
            </c:strLit>
          </c:cat>
          <c:val>
            <c:numRef>
              <c:f>Movimientos!$K$22</c:f>
            </c:numRef>
          </c:val>
        </c:ser>
        <c:gapWidth val="60"/>
        <c:overlap val="-20"/>
        <c:axId val="100000001"/>
        <c:axId val="100000002"/>
      </c:barChart>
      <c:catAx>
        <c:axId val="100000001"/>
        <c:scaling>
          <c:orientation val="minMax"/>
        </c:scaling>
        <c:delete val="0"/>
        <c:axPos val="b"/>
        <c:majorTickMark val="none"/>
        <c:minorTickMark val="none"/>
        <c:tickLblPos val="none"/>
        <c:crossAx val="100000002"/>
        <c:crosses val="autoZero"/>
        <c:auto val="1"/>
        <c:lblAlgn val="ctr"/>
        <c:lblOffset val="100"/>
        <c:noMultiLvlLbl val="0"/>
      </c:catAx>
      <c:valAx>
        <c:axId val="100000002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one"/>
        <c:crossAx val="100000001"/>
        <c:crosses val="autoZero"/>
        <c:crossBetween val="between"/>
      </c:valAx>
    </c:plotArea>
    <c:plotVisOnly val="1"/>
    <c:dispBlanksAs val="gap"/>
  </c:chart>
  <c:spPr>
    <a:solidFill>
      <a:srgbClr val="FFFFFF"/>
    </a:solidFill>
    <a:ln>
      <a:solidFill>
        <a:srgbClr val="D8DEE9"/>
      </a:solidFill>
    </a:ln>
  </c:spPr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3</xdr:row>
      <xdr:rowOff>0</xdr:rowOff>
    </xdr:from>
    <xdr:to>
      <xdr:col>4</xdr:col>
      <xdr:colOff>628650</xdr:colOff>
      <xdr:row>18</xdr:row>
      <xdr:rowOff>152400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209550</xdr:colOff>
      <xdr:row>3</xdr:row>
      <xdr:rowOff>0</xdr:rowOff>
    </xdr:from>
    <xdr:to>
      <xdr:col>12</xdr:col>
      <xdr:colOff>628650</xdr:colOff>
      <xdr:row>18</xdr:row>
      <xdr:rowOff>152400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1D4ED8"/>
    <pageSetUpPr fitToPage="1"/>
  </sheetPr>
  <dimension ref="A1:X505"/>
  <sheetViews>
    <sheetView workbookViewId="0" showGridLines="0">
      <pane ySplit="5" topLeftCell="A6" activePane="bottomLeft" state="frozen"/>
      <selection pane="bottomLeft"/>
    </sheetView>
  </sheetViews>
  <sheetFormatPr defaultRowHeight="15" outlineLevelRow="0" outlineLevelCol="0" x14ac:dyDescent="55"/>
  <cols>
    <col min="1" max="1" width="11" customWidth="1"/>
    <col min="2" max="3" width="21" customWidth="1"/>
    <col min="4" max="4" width="12" customWidth="1"/>
    <col min="5" max="5" width="2" customWidth="1"/>
    <col min="6" max="6" width="29" customWidth="1"/>
    <col min="7" max="7" width="11" customWidth="1"/>
    <col min="8" max="8" width="15" customWidth="1"/>
    <col min="9" max="9" width="10" customWidth="1"/>
    <col min="10" max="10" width="12" customWidth="1"/>
    <col min="11" max="11" width="13" customWidth="1"/>
    <col min="12" max="15" width="15" customWidth="1"/>
    <col min="16" max="16" width="9" hidden="1" customWidth="1"/>
    <col min="17" max="17" width="9" hidden="1" customWidth="1"/>
    <col min="18" max="18" width="9" hidden="1" customWidth="1"/>
    <col min="19" max="19" width="9" hidden="1" customWidth="1"/>
    <col min="20" max="20" width="9" hidden="1" customWidth="1"/>
    <col min="21" max="21" width="9" hidden="1" customWidth="1"/>
    <col min="22" max="22" width="9" hidden="1" customWidth="1"/>
    <col min="23" max="23" width="9" hidden="1" customWidth="1"/>
    <col min="24" max="24" width="9" hidden="1" customWidth="1"/>
  </cols>
  <sheetData>
    <row r="1" ht="22" customHeight="1" spans="1:11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ht="18" customHeight="1" spans="1:11" x14ac:dyDescent="0.25">
      <c r="A2" s="2" t="s">
        <v>1</v>
      </c>
      <c r="B2" s="2"/>
      <c r="C2" s="2"/>
      <c r="D2" s="2"/>
      <c r="F2" s="3" t="s">
        <v>2</v>
      </c>
      <c r="G2" s="4" t="s">
        <v>3</v>
      </c>
      <c r="H2" s="3" t="s">
        <v>4</v>
      </c>
      <c r="I2" s="3"/>
      <c r="J2" s="4" t="s">
        <v>5</v>
      </c>
      <c r="K2" s="3" t="s">
        <v>6</v>
      </c>
    </row>
    <row r="3" ht="26" customHeight="1" spans="1:11" x14ac:dyDescent="0.25">
      <c r="A3" s="2"/>
      <c r="B3" s="2"/>
      <c r="C3" s="2"/>
      <c r="D3" s="2"/>
      <c r="F3" s="5" t="s">
        <v>7</v>
      </c>
      <c r="G3" s="5"/>
      <c r="H3" s="5"/>
      <c r="I3" s="5"/>
      <c r="J3" s="5"/>
      <c r="K3" s="5"/>
    </row>
    <row r="4" ht="18" customHeight="1" spans="1:11" x14ac:dyDescent="0.25">
      <c r="A4" s="6" t="s">
        <v>8</v>
      </c>
      <c r="B4" s="6"/>
      <c r="C4" s="6"/>
      <c r="D4" s="6"/>
      <c r="F4" s="6" t="s">
        <v>9</v>
      </c>
      <c r="G4" s="6"/>
      <c r="H4" s="6"/>
      <c r="I4" s="6"/>
      <c r="J4" s="6"/>
      <c r="K4" s="6"/>
    </row>
    <row r="5" ht="16" customHeight="1" spans="1:11" x14ac:dyDescent="0.25">
      <c r="A5" s="7" t="s">
        <v>10</v>
      </c>
      <c r="B5" s="7" t="s">
        <v>11</v>
      </c>
      <c r="C5" s="7" t="s">
        <v>12</v>
      </c>
      <c r="D5" s="7" t="s">
        <v>13</v>
      </c>
      <c r="F5" s="7" t="s">
        <v>14</v>
      </c>
      <c r="G5" s="7" t="s">
        <v>15</v>
      </c>
      <c r="H5" s="8" t="s">
        <v>2</v>
      </c>
      <c r="I5" s="8" t="s">
        <v>16</v>
      </c>
      <c r="J5" s="8" t="s">
        <v>17</v>
      </c>
      <c r="K5" s="8" t="s">
        <v>6</v>
      </c>
    </row>
    <row r="6" spans="1:24" x14ac:dyDescent="0.25">
      <c r="A6" s="9">
        <v>46296</v>
      </c>
      <c r="B6" s="10" t="s">
        <v>18</v>
      </c>
      <c r="C6" s="10" t="s">
        <v>19</v>
      </c>
      <c r="D6" s="11">
        <v>1000</v>
      </c>
      <c r="F6" s="12" t="s">
        <v>18</v>
      </c>
      <c r="G6" s="13"/>
      <c r="H6" s="13"/>
      <c r="I6" s="13"/>
      <c r="J6" s="13"/>
      <c r="K6" s="13"/>
      <c r="P6">
        <f>IFERROR(IF(AND($B6&lt;&gt;"",$B6&lt;&gt;"Exterior",COUNTIF($B$6:B6,$B6)=1,COUNTIF($R$6:$R$12,$B6)=0),$B6,""),"")</f>
      </c>
      <c r="Q6">
        <f>IFERROR(IF(AND($C6&lt;&gt;"",$C6&lt;&gt;"Exterior",COUNTIF($C$6:C6,$C6)=1,COUNTIF($R$6:$R$12,$C6)=0,COUNTIF($B$6:$B$505,$C6)=0),$C6,""),"")</f>
      </c>
      <c r="R6" t="s">
        <v>18</v>
      </c>
      <c r="S6" t="s">
        <v>19</v>
      </c>
      <c r="T6" t="s">
        <v>20</v>
      </c>
      <c r="V6" t="s">
        <v>21</v>
      </c>
      <c r="W6">
        <v>19</v>
      </c>
      <c r="X6">
        <f>IFERROR(ROUND(MAX(0,SUMIFS($D$6:$D6,$C$6:$C6,$B6,$A$6:$A6,"&lt;="&amp;$A6)*MAX(0,IFERROR(1+VLOOKUP($B6,$F$6:$I$19,4,FALSE),IFERROR(1+INDEX($U$6:$U$505,MATCH($B6,$S$6:$S$505,0)),1)))-(SUMIFS($D$6:$D6,$B$6:$B6,$B6,$A$6:$A6,"&lt;="&amp;$A6)-$D6)),2),0)</f>
      </c>
    </row>
    <row r="7" spans="1:24" x14ac:dyDescent="0.25">
      <c r="A7" s="9">
        <v>46297</v>
      </c>
      <c r="B7" s="10" t="s">
        <v>19</v>
      </c>
      <c r="C7" s="10" t="s">
        <v>22</v>
      </c>
      <c r="D7" s="11">
        <v>400</v>
      </c>
      <c r="F7" s="14" t="s">
        <v>19</v>
      </c>
      <c r="G7" s="15" t="s">
        <v>20</v>
      </c>
      <c r="H7" s="16">
        <f>IFERROR(IF($F7="","",IF(AND(COUNTIFS($C$6:$C$505,"Cuenta Luis",$D$6:$D$505,"&gt;0")+COUNTIFS($B$6:$B$505,"Cuenta Luis",$D$6:$D$505,"&gt;0")&gt;0,SUMIFS($D$6:$D$505,$C$6:$C$505,"Cuenta Luis")*MAX(0,IFERROR(1+$I7,1))-SUMIFS($D$6:$D$505,$B$6:$B$505,"Cuenta Luis")&lt;=0.005,SUMPRODUCT(--($H8:$H10&lt;&gt;""))=0),"",MAX(0,SUMIFS($D$6:$D$505,$C$6:$C$505,"Cuenta Luis")-SUMIFS($D$6:$D$505,$B$6:$B$505,"Cuenta Luis")))),"")</f>
      </c>
      <c r="I7" s="17"/>
      <c r="J7" s="16">
        <f>IFERROR(IF($F7="","",IF(AND(COUNTIFS($C$6:$C$505,"Cuenta Luis",$D$6:$D$505,"&gt;0")+COUNTIFS($B$6:$B$505,"Cuenta Luis",$D$6:$D$505,"&gt;0")&gt;0,SUMIFS($D$6:$D$505,$C$6:$C$505,"Cuenta Luis")*MAX(0,IFERROR(1+$I7,1))-SUMIFS($D$6:$D$505,$B$6:$B$505,"Cuenta Luis")&lt;=0.005,SUMPRODUCT(--($H8:$H10&lt;&gt;""))=0),"",IF(OR($H7="",$K7=""),"",$K7-$H7))),"")</f>
      </c>
      <c r="K7" s="16">
        <f>IFERROR(IF($F7="","",IF(AND(COUNTIFS($C$6:$C$505,"Cuenta Luis",$D$6:$D$505,"&gt;0")+COUNTIFS($B$6:$B$505,"Cuenta Luis",$D$6:$D$505,"&gt;0")&gt;0,SUMIFS($D$6:$D$505,$C$6:$C$505,"Cuenta Luis")*MAX(0,IFERROR(1+$I7,1))-SUMIFS($D$6:$D$505,$B$6:$B$505,"Cuenta Luis")&lt;=0.005,SUMPRODUCT(--($H8:$H10&lt;&gt;""))=0),"",IF(SUMIFS($D$6:$D$505,$C$6:$C$505,"Cuenta Luis")*MAX(0,IFERROR(1+$I7,1))-SUMIFS($D$6:$D$505,$B$6:$B$505,"Cuenta Luis")&lt;=0.005,"",ROUND(SUMIFS($D$6:$D$505,$C$6:$C$505,"Cuenta Luis")*MAX(0,IFERROR(1+$I7,1))-SUMIFS($D$6:$D$505,$B$6:$B$505,"Cuenta Luis"),2)))),"")</f>
      </c>
      <c r="P7">
        <f>IFERROR(IF(AND($B7&lt;&gt;"",$B7&lt;&gt;"Exterior",COUNTIF($B$6:B7,$B7)=1,COUNTIF($R$6:$R$12,$B7)=0),$B7,""),"")</f>
      </c>
      <c r="Q7">
        <f>IFERROR(IF(AND($C7&lt;&gt;"",$C7&lt;&gt;"Exterior",COUNTIF($C$6:C7,$C7)=1,COUNTIF($R$6:$R$12,$C7)=0,COUNTIF($B$6:$B$505,$C7)=0),$C7,""),"")</f>
      </c>
      <c r="R7" t="s">
        <v>19</v>
      </c>
      <c r="S7" t="s">
        <v>23</v>
      </c>
      <c r="T7" t="s">
        <v>20</v>
      </c>
      <c r="V7" t="s">
        <v>24</v>
      </c>
      <c r="X7">
        <f>IFERROR(ROUND(MAX(0,SUMIFS($D$6:$D7,$C$6:$C7,$B7,$A$6:$A7,"&lt;="&amp;$A7)*MAX(0,IFERROR(1+VLOOKUP($B7,$F$6:$I$19,4,FALSE),IFERROR(1+INDEX($U$6:$U$505,MATCH($B7,$S$6:$S$505,0)),1)))-(SUMIFS($D$6:$D7,$B$6:$B7,$B7,$A$6:$A7,"&lt;="&amp;$A7)-$D7)),2),0)</f>
      </c>
    </row>
    <row r="8" spans="1:24" x14ac:dyDescent="0.25">
      <c r="A8" s="9">
        <v>46298</v>
      </c>
      <c r="B8" s="10" t="s">
        <v>18</v>
      </c>
      <c r="C8" s="10" t="s">
        <v>19</v>
      </c>
      <c r="D8" s="11">
        <v>620</v>
      </c>
      <c r="F8" s="18" t="s">
        <v>23</v>
      </c>
      <c r="G8" s="15" t="s">
        <v>20</v>
      </c>
      <c r="H8" s="16">
        <f>IFERROR(IF($F8="","",IF(AND(SUMIFS($D$6:$D$505,$C$6:$C$505,"Vanguard Global Stock Index")&gt;0,SUMIFS($D$6:$D$505,$C$6:$C$505,"Vanguard Global Stock Index")*MAX(0,IFERROR(1+$I8,1))-SUMIFS($D$6:$D$505,$B$6:$B$505,"Vanguard Global Stock Index")&lt;=0.005),"",MAX(0,SUMIFS($D$6:$D$505,$C$6:$C$505,"Vanguard Global Stock Index")-SUMIFS($D$6:$D$505,$B$6:$B$505,"Vanguard Global Stock Index")))),"")</f>
      </c>
      <c r="I8" s="17"/>
      <c r="J8" s="16">
        <f>IFERROR(IF($F8="","",IF(AND(SUMIFS($D$6:$D$505,$C$6:$C$505,"Vanguard Global Stock Index")&gt;0,SUMIFS($D$6:$D$505,$C$6:$C$505,"Vanguard Global Stock Index")*MAX(0,IFERROR(1+$I8,1))-SUMIFS($D$6:$D$505,$B$6:$B$505,"Vanguard Global Stock Index")&lt;=0.005),"",IF(OR($H8="",$K8=""),"",$K8-$H8))),"")</f>
      </c>
      <c r="K8" s="16">
        <f>IFERROR(IF($F8="","",IF(AND(SUMIFS($D$6:$D$505,$C$6:$C$505,"Vanguard Global Stock Index")&gt;0,SUMIFS($D$6:$D$505,$C$6:$C$505,"Vanguard Global Stock Index")*MAX(0,IFERROR(1+$I8,1))-SUMIFS($D$6:$D$505,$B$6:$B$505,"Vanguard Global Stock Index")&lt;=0.005),"",IF(SUMIFS($D$6:$D$505,$C$6:$C$505,"Vanguard Global Stock Index")*MAX(0,IFERROR(1+$I8,1))-SUMIFS($D$6:$D$505,$B$6:$B$505,"Vanguard Global Stock Index")&lt;=0.005,"",ROUND(SUMIFS($D$6:$D$505,$C$6:$C$505,"Vanguard Global Stock Index")*MAX(0,IFERROR(1+$I8,1))-SUMIFS($D$6:$D$505,$B$6:$B$505,"Vanguard Global Stock Index"),2)))),"")</f>
      </c>
      <c r="P8">
        <f>IFERROR(IF(AND($B8&lt;&gt;"",$B8&lt;&gt;"Exterior",COUNTIF($B$6:B8,$B8)=1,COUNTIF($R$6:$R$12,$B8)=0),$B8,""),"")</f>
      </c>
      <c r="Q8">
        <f>IFERROR(IF(AND($C8&lt;&gt;"",$C8&lt;&gt;"Exterior",COUNTIF($C$6:C8,$C8)=1,COUNTIF($R$6:$R$12,$C8)=0,COUNTIF($B$6:$B$505,$C8)=0),$C8,""),"")</f>
      </c>
      <c r="R8" t="s">
        <v>23</v>
      </c>
      <c r="S8" t="s">
        <v>25</v>
      </c>
      <c r="T8" t="s">
        <v>20</v>
      </c>
      <c r="V8" t="s">
        <v>24</v>
      </c>
      <c r="W8" t="s">
        <v>20</v>
      </c>
      <c r="X8">
        <f>IFERROR(ROUND(MAX(0,SUMIFS($D$6:$D8,$C$6:$C8,$B8,$A$6:$A8,"&lt;="&amp;$A8)*MAX(0,IFERROR(1+VLOOKUP($B8,$F$6:$I$19,4,FALSE),IFERROR(1+INDEX($U$6:$U$505,MATCH($B8,$S$6:$S$505,0)),1)))-(SUMIFS($D$6:$D8,$B$6:$B8,$B8,$A$6:$A8,"&lt;="&amp;$A8)-$D8)),2),0)</f>
      </c>
    </row>
    <row r="9" spans="1:24" x14ac:dyDescent="0.25">
      <c r="A9" s="9">
        <v>46299</v>
      </c>
      <c r="B9" s="10" t="s">
        <v>19</v>
      </c>
      <c r="C9" s="10" t="s">
        <v>23</v>
      </c>
      <c r="D9" s="11">
        <v>300</v>
      </c>
      <c r="F9" s="19" t="s">
        <v>25</v>
      </c>
      <c r="G9" s="15" t="s">
        <v>20</v>
      </c>
      <c r="H9" s="20">
        <f>IFERROR(IF($F9="","",IF(AND(SUMIFS($D$6:$D$505,$C$6:$C$505,"Fidelity MSCI World Index")&gt;0,SUMIFS($D$6:$D$505,$C$6:$C$505,"Fidelity MSCI World Index")*MAX(0,IFERROR(1+$I9,1))-SUMIFS($D$6:$D$505,$B$6:$B$505,"Fidelity MSCI World Index")&lt;=0.005),"",MAX(0,SUMIFS($D$6:$D$505,$C$6:$C$505,"Fidelity MSCI World Index")-SUMIFS($D$6:$D$505,$B$6:$B$505,"Fidelity MSCI World Index")))),"")</f>
      </c>
      <c r="I9" s="21"/>
      <c r="J9" s="20">
        <f>IFERROR(IF($F9="","",IF(AND(SUMIFS($D$6:$D$505,$C$6:$C$505,"Fidelity MSCI World Index")&gt;0,SUMIFS($D$6:$D$505,$C$6:$C$505,"Fidelity MSCI World Index")*MAX(0,IFERROR(1+$I9,1))-SUMIFS($D$6:$D$505,$B$6:$B$505,"Fidelity MSCI World Index")&lt;=0.005),"",IF(OR($H9="",$K9=""),"",$K9-$H9))),"")</f>
      </c>
      <c r="K9" s="20">
        <f>IFERROR(IF($F9="","",IF(AND(SUMIFS($D$6:$D$505,$C$6:$C$505,"Fidelity MSCI World Index")&gt;0,SUMIFS($D$6:$D$505,$C$6:$C$505,"Fidelity MSCI World Index")*MAX(0,IFERROR(1+$I9,1))-SUMIFS($D$6:$D$505,$B$6:$B$505,"Fidelity MSCI World Index")&lt;=0.005),"",IF(SUMIFS($D$6:$D$505,$C$6:$C$505,"Fidelity MSCI World Index")*MAX(0,IFERROR(1+$I9,1))-SUMIFS($D$6:$D$505,$B$6:$B$505,"Fidelity MSCI World Index")&lt;=0.005,"",ROUND(SUMIFS($D$6:$D$505,$C$6:$C$505,"Fidelity MSCI World Index")*MAX(0,IFERROR(1+$I9,1))-SUMIFS($D$6:$D$505,$B$6:$B$505,"Fidelity MSCI World Index"),2)))),"")</f>
      </c>
      <c r="P9">
        <f>IFERROR(IF(AND($B9&lt;&gt;"",$B9&lt;&gt;"Exterior",COUNTIF($B$6:B9,$B9)=1,COUNTIF($R$6:$R$12,$B9)=0),$B9,""),"")</f>
      </c>
      <c r="Q9">
        <f>IFERROR(IF(AND($C9&lt;&gt;"",$C9&lt;&gt;"Exterior",COUNTIF($C$6:C9,$C9)=1,COUNTIF($R$6:$R$12,$C9)=0,COUNTIF($B$6:$B$505,$C9)=0),$C9,""),"")</f>
      </c>
      <c r="R9" t="s">
        <v>25</v>
      </c>
      <c r="S9" t="s">
        <v>26</v>
      </c>
      <c r="T9" t="s">
        <v>20</v>
      </c>
      <c r="V9" t="s">
        <v>24</v>
      </c>
      <c r="X9">
        <f>IFERROR(ROUND(MAX(0,SUMIFS($D$6:$D9,$C$6:$C9,$B9,$A$6:$A9,"&lt;="&amp;$A9)*MAX(0,IFERROR(1+VLOOKUP($B9,$F$6:$I$19,4,FALSE),IFERROR(1+INDEX($U$6:$U$505,MATCH($B9,$S$6:$S$505,0)),1)))-(SUMIFS($D$6:$D9,$B$6:$B9,$B9,$A$6:$A9,"&lt;="&amp;$A9)-$D9)),2),0)</f>
      </c>
    </row>
    <row r="10" spans="1:24" x14ac:dyDescent="0.25">
      <c r="A10" s="9">
        <v>46300</v>
      </c>
      <c r="B10" s="10" t="s">
        <v>19</v>
      </c>
      <c r="C10" s="10" t="s">
        <v>25</v>
      </c>
      <c r="D10" s="11">
        <v>200</v>
      </c>
      <c r="F10" s="19" t="s">
        <v>26</v>
      </c>
      <c r="G10" s="15" t="s">
        <v>20</v>
      </c>
      <c r="H10" s="20">
        <f>IFERROR(IF($F10="","",IF(AND(SUMIFS($D$6:$D$505,$C$6:$C$505,"Cartera indexada Metal")&gt;0,SUMIFS($D$6:$D$505,$C$6:$C$505,"Cartera indexada Metal")*MAX(0,IFERROR(1+$I10,1))-SUMIFS($D$6:$D$505,$B$6:$B$505,"Cartera indexada Metal")&lt;=0.005),"",MAX(0,SUMIFS($D$6:$D$505,$C$6:$C$505,"Cartera indexada Metal")-SUMIFS($D$6:$D$505,$B$6:$B$505,"Cartera indexada Metal")))),"")</f>
      </c>
      <c r="I10" s="21"/>
      <c r="J10" s="20">
        <f>IFERROR(IF($F10="","",IF(AND(SUMIFS($D$6:$D$505,$C$6:$C$505,"Cartera indexada Metal")&gt;0,SUMIFS($D$6:$D$505,$C$6:$C$505,"Cartera indexada Metal")*MAX(0,IFERROR(1+$I10,1))-SUMIFS($D$6:$D$505,$B$6:$B$505,"Cartera indexada Metal")&lt;=0.005),"",IF(OR($H10="",$K10=""),"",$K10-$H10))),"")</f>
      </c>
      <c r="K10" s="20">
        <f>IFERROR(IF($F10="","",IF(AND(SUMIFS($D$6:$D$505,$C$6:$C$505,"Cartera indexada Metal")&gt;0,SUMIFS($D$6:$D$505,$C$6:$C$505,"Cartera indexada Metal")*MAX(0,IFERROR(1+$I10,1))-SUMIFS($D$6:$D$505,$B$6:$B$505,"Cartera indexada Metal")&lt;=0.005),"",IF(SUMIFS($D$6:$D$505,$C$6:$C$505,"Cartera indexada Metal")*MAX(0,IFERROR(1+$I10,1))-SUMIFS($D$6:$D$505,$B$6:$B$505,"Cartera indexada Metal")&lt;=0.005,"",ROUND(SUMIFS($D$6:$D$505,$C$6:$C$505,"Cartera indexada Metal")*MAX(0,IFERROR(1+$I10,1))-SUMIFS($D$6:$D$505,$B$6:$B$505,"Cartera indexada Metal"),2)))),"")</f>
      </c>
      <c r="P10">
        <f>IFERROR(IF(AND($B10&lt;&gt;"",$B10&lt;&gt;"Exterior",COUNTIF($B$6:B10,$B10)=1,COUNTIF($R$6:$R$12,$B10)=0),$B10,""),"")</f>
      </c>
      <c r="Q10">
        <f>IFERROR(IF(AND($C10&lt;&gt;"",$C10&lt;&gt;"Exterior",COUNTIF($C$6:C10,$C10)=1,COUNTIF($R$6:$R$12,$C10)=0,COUNTIF($B$6:$B$505,$C10)=0),$C10,""),"")</f>
      </c>
      <c r="R10" t="s">
        <v>26</v>
      </c>
      <c r="S10" t="s">
        <v>22</v>
      </c>
      <c r="T10" t="s">
        <v>27</v>
      </c>
      <c r="V10" t="s">
        <v>24</v>
      </c>
      <c r="X10">
        <f>IFERROR(ROUND(MAX(0,SUMIFS($D$6:$D10,$C$6:$C10,$B10,$A$6:$A10,"&lt;="&amp;$A10)*MAX(0,IFERROR(1+VLOOKUP($B10,$F$6:$I$19,4,FALSE),IFERROR(1+INDEX($U$6:$U$505,MATCH($B10,$S$6:$S$505,0)),1)))-(SUMIFS($D$6:$D10,$B$6:$B10,$B10,$A$6:$A10,"&lt;="&amp;$A10)-$D10)),2),0)</f>
      </c>
    </row>
    <row r="11" spans="1:24" x14ac:dyDescent="0.25">
      <c r="A11" s="9">
        <v>46301</v>
      </c>
      <c r="B11" s="10" t="s">
        <v>19</v>
      </c>
      <c r="C11" s="10" t="s">
        <v>26</v>
      </c>
      <c r="D11" s="11">
        <v>120</v>
      </c>
      <c r="F11" s="22" t="s">
        <v>22</v>
      </c>
      <c r="G11" s="15" t="s">
        <v>27</v>
      </c>
      <c r="H11" s="23">
        <f>IFERROR(IF($F11="","",IF(AND(SUMIFS($D$6:$D$505,$C$6:$C$505,"Fondo indexado")&gt;0,SUMIFS($D$6:$D$505,$C$6:$C$505,"Fondo indexado")*MAX(0,IFERROR(1+$I11,1))-SUMIFS($D$6:$D$505,$B$6:$B$505,"Fondo indexado")&lt;=0.005),"",MAX(0,SUMIFS($D$6:$D$505,$C$6:$C$505,"Fondo indexado")-SUMIFS($D$6:$D$505,$B$6:$B$505,"Fondo indexado")))),"")</f>
      </c>
      <c r="I11" s="24"/>
      <c r="J11" s="23">
        <f>IFERROR(IF($F11="","",IF(AND(SUMIFS($D$6:$D$505,$C$6:$C$505,"Fondo indexado")&gt;0,SUMIFS($D$6:$D$505,$C$6:$C$505,"Fondo indexado")*MAX(0,IFERROR(1+$I11,1))-SUMIFS($D$6:$D$505,$B$6:$B$505,"Fondo indexado")&lt;=0.005),"",IF(OR($H11="",$K11=""),"",$K11-$H11))),"")</f>
      </c>
      <c r="K11" s="23">
        <f>IFERROR(IF($F11="","",IF(AND(SUMIFS($D$6:$D$505,$C$6:$C$505,"Fondo indexado")&gt;0,SUMIFS($D$6:$D$505,$C$6:$C$505,"Fondo indexado")*MAX(0,IFERROR(1+$I11,1))-SUMIFS($D$6:$D$505,$B$6:$B$505,"Fondo indexado")&lt;=0.005),"",IF(SUMIFS($D$6:$D$505,$C$6:$C$505,"Fondo indexado")*MAX(0,IFERROR(1+$I11,1))-SUMIFS($D$6:$D$505,$B$6:$B$505,"Fondo indexado")&lt;=0.005,"",ROUND(SUMIFS($D$6:$D$505,$C$6:$C$505,"Fondo indexado")*MAX(0,IFERROR(1+$I11,1))-SUMIFS($D$6:$D$505,$B$6:$B$505,"Fondo indexado"),2)))),"")</f>
      </c>
      <c r="P11">
        <f>IFERROR(IF(AND($B11&lt;&gt;"",$B11&lt;&gt;"Exterior",COUNTIF($B$6:B11,$B11)=1,COUNTIF($R$6:$R$12,$B11)=0),$B11,""),"")</f>
      </c>
      <c r="Q11">
        <f>IFERROR(IF(AND($C11&lt;&gt;"",$C11&lt;&gt;"Exterior",COUNTIF($C$6:C11,$C11)=1,COUNTIF($R$6:$R$12,$C11)=0,COUNTIF($B$6:$B$505,$C11)=0),$C11,""),"")</f>
      </c>
      <c r="R11" t="s">
        <v>22</v>
      </c>
      <c r="S11" t="s">
        <v>28</v>
      </c>
      <c r="T11" t="s">
        <v>27</v>
      </c>
      <c r="V11" t="s">
        <v>24</v>
      </c>
      <c r="X11">
        <f>IFERROR(ROUND(MAX(0,SUMIFS($D$6:$D11,$C$6:$C11,$B11,$A$6:$A11,"&lt;="&amp;$A11)*MAX(0,IFERROR(1+VLOOKUP($B11,$F$6:$I$19,4,FALSE),IFERROR(1+INDEX($U$6:$U$505,MATCH($B11,$S$6:$S$505,0)),1)))-(SUMIFS($D$6:$D11,$B$6:$B11,$B11,$A$6:$A11,"&lt;="&amp;$A11)-$D11)),2),0)</f>
      </c>
    </row>
    <row r="12" spans="1:24" x14ac:dyDescent="0.25">
      <c r="A12" s="9">
        <v>46302</v>
      </c>
      <c r="B12" s="10" t="s">
        <v>18</v>
      </c>
      <c r="C12" s="10" t="s">
        <v>28</v>
      </c>
      <c r="D12" s="11">
        <v>150</v>
      </c>
      <c r="F12" s="22" t="s">
        <v>28</v>
      </c>
      <c r="G12" s="15" t="s">
        <v>27</v>
      </c>
      <c r="H12" s="23">
        <f>IFERROR(IF($F12="","",IF(AND(SUMIFS($D$6:$D$505,$C$6:$C$505,"iShares Developed World Index")&gt;0,SUMIFS($D$6:$D$505,$C$6:$C$505,"iShares Developed World Index")*MAX(0,IFERROR(1+$I12,1))-SUMIFS($D$6:$D$505,$B$6:$B$505,"iShares Developed World Index")&lt;=0.005),"",MAX(0,SUMIFS($D$6:$D$505,$C$6:$C$505,"iShares Developed World Index")-SUMIFS($D$6:$D$505,$B$6:$B$505,"iShares Developed World Index")))),"")</f>
      </c>
      <c r="I12" s="24"/>
      <c r="J12" s="23">
        <f>IFERROR(IF($F12="","",IF(AND(SUMIFS($D$6:$D$505,$C$6:$C$505,"iShares Developed World Index")&gt;0,SUMIFS($D$6:$D$505,$C$6:$C$505,"iShares Developed World Index")*MAX(0,IFERROR(1+$I12,1))-SUMIFS($D$6:$D$505,$B$6:$B$505,"iShares Developed World Index")&lt;=0.005),"",IF(OR($H12="",$K12=""),"",$K12-$H12))),"")</f>
      </c>
      <c r="K12" s="23">
        <f>IFERROR(IF($F12="","",IF(AND(SUMIFS($D$6:$D$505,$C$6:$C$505,"iShares Developed World Index")&gt;0,SUMIFS($D$6:$D$505,$C$6:$C$505,"iShares Developed World Index")*MAX(0,IFERROR(1+$I12,1))-SUMIFS($D$6:$D$505,$B$6:$B$505,"iShares Developed World Index")&lt;=0.005),"",IF(SUMIFS($D$6:$D$505,$C$6:$C$505,"iShares Developed World Index")*MAX(0,IFERROR(1+$I12,1))-SUMIFS($D$6:$D$505,$B$6:$B$505,"iShares Developed World Index")&lt;=0.005,"",ROUND(SUMIFS($D$6:$D$505,$C$6:$C$505,"iShares Developed World Index")*MAX(0,IFERROR(1+$I12,1))-SUMIFS($D$6:$D$505,$B$6:$B$505,"iShares Developed World Index"),2)))),"")</f>
      </c>
      <c r="P12">
        <f>IFERROR(IF(AND($B12&lt;&gt;"",$B12&lt;&gt;"Exterior",COUNTIF($B$6:B12,$B12)=1,COUNTIF($R$6:$R$12,$B12)=0),$B12,""),"")</f>
      </c>
      <c r="Q12">
        <f>IFERROR(IF(AND($C12&lt;&gt;"",$C12&lt;&gt;"Exterior",COUNTIF($C$6:C12,$C12)=1,COUNTIF($R$6:$R$12,$C12)=0,COUNTIF($B$6:$B$505,$C12)=0),$C12,""),"")</f>
      </c>
      <c r="R12" t="s">
        <v>28</v>
      </c>
      <c r="X12">
        <f>IFERROR(ROUND(MAX(0,SUMIFS($D$6:$D12,$C$6:$C12,$B12,$A$6:$A12,"&lt;="&amp;$A12)*MAX(0,IFERROR(1+VLOOKUP($B12,$F$6:$I$19,4,FALSE),IFERROR(1+INDEX($U$6:$U$505,MATCH($B12,$S$6:$S$505,0)),1)))-(SUMIFS($D$6:$D12,$B$6:$B12,$B12,$A$6:$A12,"&lt;="&amp;$A12)-$D12)),2),0)</f>
      </c>
    </row>
    <row r="13" spans="1:24" x14ac:dyDescent="0.25">
      <c r="A13" s="9">
        <v>46317</v>
      </c>
      <c r="B13" s="10"/>
      <c r="C13" s="10"/>
      <c r="D13" s="11"/>
      <c r="F13" s="25">
        <f>IFERROR(IF(1&lt;=COUNTIF($P$6:$P$505,"?*"),INDEX($P$6:$P$505,AGGREGATE(15,6,(ROW($P$6:$P$505)-ROW($P$6)+1)/($P$6:$P$505&lt;&gt;""),1)),INDEX($Q$6:$Q$505,AGGREGATE(15,6,(ROW($Q$6:$Q$505)-ROW($Q$6)+1)/($Q$6:$Q$505&lt;&gt;""),1-COUNTIF($P$6:$P$505,"?*")))),"")</f>
      </c>
      <c r="G13" s="26">
        <f>IFERROR(IF($F13="","",IFERROR(INDEX($G$6:$G$12,MATCH(INDEX($B$6:$B$505,MATCH($F13,$C$6:$C$505,0)),$F$6:$F$12,0)),"Luis")),"")</f>
      </c>
      <c r="H13" s="27">
        <f>IFERROR(IF($F13="","",IF(AND(SUMIFS($D$6:$D$505,$C$6:$C$505,$F13)&gt;0,SUMIFS($D$6:$D$505,$C$6:$C$505,$F13)*MAX(0,IFERROR(1+$I13,1))-SUMIFS($D$6:$D$505,$B$6:$B$505,$F13)&lt;=0.005),"",MAX(0,SUMIFS($D$6:$D$505,$C$6:$C$505,$F13)-SUMIFS($D$6:$D$505,$B$6:$B$505,$F13)))),"")</f>
      </c>
      <c r="I13" s="28"/>
      <c r="J13" s="27">
        <f>IFERROR(IF($F13="","",IF(AND(SUMIFS($D$6:$D$505,$C$6:$C$505,$F13)&gt;0,SUMIFS($D$6:$D$505,$C$6:$C$505,$F13)*MAX(0,IFERROR(1+$I13,1))-SUMIFS($D$6:$D$505,$B$6:$B$505,$F13)&lt;=0.005),"",IF(OR($H13="",$K13=""),"",$K13-$H13))),"")</f>
      </c>
      <c r="K13" s="27">
        <f>IFERROR(IF($F13="","",IF(AND(SUMIFS($D$6:$D$505,$C$6:$C$505,$F13)&gt;0,SUMIFS($D$6:$D$505,$C$6:$C$505,$F13)*MAX(0,IFERROR(1+$I13,1))-SUMIFS($D$6:$D$505,$B$6:$B$505,$F13)&lt;=0.005),"",IF(SUMIFS($D$6:$D$505,$C$6:$C$505,$F13)*MAX(0,IFERROR(1+$I13,1))-SUMIFS($D$6:$D$505,$B$6:$B$505,$F13)&lt;=0.005,"",ROUND(SUMIFS($D$6:$D$505,$C$6:$C$505,$F13)*MAX(0,IFERROR(1+$I13,1))-SUMIFS($D$6:$D$505,$B$6:$B$505,$F13),2)))),"")</f>
      </c>
      <c r="P13">
        <f>IFERROR(IF(AND($B13&lt;&gt;"",$B13&lt;&gt;"Exterior",COUNTIF($B$6:B13,$B13)=1,COUNTIF($R$6:$R$12,$B13)=0),$B13,""),"")</f>
      </c>
      <c r="Q13">
        <f>IFERROR(IF(AND($C13&lt;&gt;"",$C13&lt;&gt;"Exterior",COUNTIF($C$6:C13,$C13)=1,COUNTIF($R$6:$R$12,$C13)=0,COUNTIF($B$6:$B$505,$C13)=0),$C13,""),"")</f>
      </c>
      <c r="X13">
        <f>IFERROR(ROUND(MAX(0,SUMIFS($D$6:$D13,$C$6:$C13,$B13,$A$6:$A13,"&lt;="&amp;$A13)*MAX(0,IFERROR(1+VLOOKUP($B13,$F$6:$I$19,4,FALSE),IFERROR(1+INDEX($U$6:$U$505,MATCH($B13,$S$6:$S$505,0)),1)))-(SUMIFS($D$6:$D13,$B$6:$B13,$B13,$A$6:$A13,"&lt;="&amp;$A13)-$D13)),2),0)</f>
      </c>
    </row>
    <row r="14" spans="1:24" x14ac:dyDescent="0.25">
      <c r="A14" s="9">
        <v>46317</v>
      </c>
      <c r="B14" s="10"/>
      <c r="C14" s="10"/>
      <c r="D14" s="11"/>
      <c r="F14" s="25">
        <f>IFERROR(IF(2&lt;=COUNTIF($P$6:$P$505,"?*"),INDEX($P$6:$P$505,AGGREGATE(15,6,(ROW($P$6:$P$505)-ROW($P$6)+1)/($P$6:$P$505&lt;&gt;""),2)),INDEX($Q$6:$Q$505,AGGREGATE(15,6,(ROW($Q$6:$Q$505)-ROW($Q$6)+1)/($Q$6:$Q$505&lt;&gt;""),2-COUNTIF($P$6:$P$505,"?*")))),"")</f>
      </c>
      <c r="G14" s="26">
        <f>IFERROR(IF($F14="","",IFERROR(INDEX($G$6:$G$12,MATCH(INDEX($B$6:$B$505,MATCH($F14,$C$6:$C$505,0)),$F$6:$F$12,0)),"Luis")),"")</f>
      </c>
      <c r="H14" s="27">
        <f>IFERROR(IF($F14="","",IF(AND(SUMIFS($D$6:$D$505,$C$6:$C$505,$F14)&gt;0,SUMIFS($D$6:$D$505,$C$6:$C$505,$F14)*MAX(0,IFERROR(1+$I14,1))-SUMIFS($D$6:$D$505,$B$6:$B$505,$F14)&lt;=0.005),"",MAX(0,SUMIFS($D$6:$D$505,$C$6:$C$505,$F14)-SUMIFS($D$6:$D$505,$B$6:$B$505,$F14)))),"")</f>
      </c>
      <c r="I14" s="28"/>
      <c r="J14" s="27">
        <f>IFERROR(IF($F14="","",IF(AND(SUMIFS($D$6:$D$505,$C$6:$C$505,$F14)&gt;0,SUMIFS($D$6:$D$505,$C$6:$C$505,$F14)*MAX(0,IFERROR(1+$I14,1))-SUMIFS($D$6:$D$505,$B$6:$B$505,$F14)&lt;=0.005),"",IF(OR($H14="",$K14=""),"",$K14-$H14))),"")</f>
      </c>
      <c r="K14" s="27">
        <f>IFERROR(IF($F14="","",IF(AND(SUMIFS($D$6:$D$505,$C$6:$C$505,$F14)&gt;0,SUMIFS($D$6:$D$505,$C$6:$C$505,$F14)*MAX(0,IFERROR(1+$I14,1))-SUMIFS($D$6:$D$505,$B$6:$B$505,$F14)&lt;=0.005),"",IF(SUMIFS($D$6:$D$505,$C$6:$C$505,$F14)*MAX(0,IFERROR(1+$I14,1))-SUMIFS($D$6:$D$505,$B$6:$B$505,$F14)&lt;=0.005,"",ROUND(SUMIFS($D$6:$D$505,$C$6:$C$505,$F14)*MAX(0,IFERROR(1+$I14,1))-SUMIFS($D$6:$D$505,$B$6:$B$505,$F14),2)))),"")</f>
      </c>
      <c r="P14">
        <f>IFERROR(IF(AND($B14&lt;&gt;"",$B14&lt;&gt;"Exterior",COUNTIF($B$6:B14,$B14)=1,COUNTIF($R$6:$R$12,$B14)=0),$B14,""),"")</f>
      </c>
      <c r="Q14">
        <f>IFERROR(IF(AND($C14&lt;&gt;"",$C14&lt;&gt;"Exterior",COUNTIF($C$6:C14,$C14)=1,COUNTIF($R$6:$R$12,$C14)=0,COUNTIF($B$6:$B$505,$C14)=0),$C14,""),"")</f>
      </c>
      <c r="X14">
        <f>IFERROR(ROUND(MAX(0,SUMIFS($D$6:$D14,$C$6:$C14,$B14,$A$6:$A14,"&lt;="&amp;$A14)*MAX(0,IFERROR(1+VLOOKUP($B14,$F$6:$I$19,4,FALSE),IFERROR(1+INDEX($U$6:$U$505,MATCH($B14,$S$6:$S$505,0)),1)))-(SUMIFS($D$6:$D14,$B$6:$B14,$B14,$A$6:$A14,"&lt;="&amp;$A14)-$D14)),2),0)</f>
      </c>
    </row>
    <row r="15" spans="1:24" x14ac:dyDescent="0.25">
      <c r="A15" s="9">
        <v>46317</v>
      </c>
      <c r="B15" s="10"/>
      <c r="C15" s="10"/>
      <c r="D15" s="11"/>
      <c r="F15" s="25">
        <f>IFERROR(IF(3&lt;=COUNTIF($P$6:$P$505,"?*"),INDEX($P$6:$P$505,AGGREGATE(15,6,(ROW($P$6:$P$505)-ROW($P$6)+1)/($P$6:$P$505&lt;&gt;""),3)),INDEX($Q$6:$Q$505,AGGREGATE(15,6,(ROW($Q$6:$Q$505)-ROW($Q$6)+1)/($Q$6:$Q$505&lt;&gt;""),3-COUNTIF($P$6:$P$505,"?*")))),"")</f>
      </c>
      <c r="G15" s="26">
        <f>IFERROR(IF($F15="","",IFERROR(INDEX($G$6:$G$12,MATCH(INDEX($B$6:$B$505,MATCH($F15,$C$6:$C$505,0)),$F$6:$F$12,0)),"Luis")),"")</f>
      </c>
      <c r="H15" s="27">
        <f>IFERROR(IF($F15="","",IF(AND(SUMIFS($D$6:$D$505,$C$6:$C$505,$F15)&gt;0,SUMIFS($D$6:$D$505,$C$6:$C$505,$F15)*MAX(0,IFERROR(1+$I15,1))-SUMIFS($D$6:$D$505,$B$6:$B$505,$F15)&lt;=0.005),"",MAX(0,SUMIFS($D$6:$D$505,$C$6:$C$505,$F15)-SUMIFS($D$6:$D$505,$B$6:$B$505,$F15)))),"")</f>
      </c>
      <c r="I15" s="28"/>
      <c r="J15" s="27">
        <f>IFERROR(IF($F15="","",IF(AND(SUMIFS($D$6:$D$505,$C$6:$C$505,$F15)&gt;0,SUMIFS($D$6:$D$505,$C$6:$C$505,$F15)*MAX(0,IFERROR(1+$I15,1))-SUMIFS($D$6:$D$505,$B$6:$B$505,$F15)&lt;=0.005),"",IF(OR($H15="",$K15=""),"",$K15-$H15))),"")</f>
      </c>
      <c r="K15" s="27">
        <f>IFERROR(IF($F15="","",IF(AND(SUMIFS($D$6:$D$505,$C$6:$C$505,$F15)&gt;0,SUMIFS($D$6:$D$505,$C$6:$C$505,$F15)*MAX(0,IFERROR(1+$I15,1))-SUMIFS($D$6:$D$505,$B$6:$B$505,$F15)&lt;=0.005),"",IF(SUMIFS($D$6:$D$505,$C$6:$C$505,$F15)*MAX(0,IFERROR(1+$I15,1))-SUMIFS($D$6:$D$505,$B$6:$B$505,$F15)&lt;=0.005,"",ROUND(SUMIFS($D$6:$D$505,$C$6:$C$505,$F15)*MAX(0,IFERROR(1+$I15,1))-SUMIFS($D$6:$D$505,$B$6:$B$505,$F15),2)))),"")</f>
      </c>
      <c r="P15">
        <f>IFERROR(IF(AND($B15&lt;&gt;"",$B15&lt;&gt;"Exterior",COUNTIF($B$6:B15,$B15)=1,COUNTIF($R$6:$R$12,$B15)=0),$B15,""),"")</f>
      </c>
      <c r="Q15">
        <f>IFERROR(IF(AND($C15&lt;&gt;"",$C15&lt;&gt;"Exterior",COUNTIF($C$6:C15,$C15)=1,COUNTIF($R$6:$R$12,$C15)=0,COUNTIF($B$6:$B$505,$C15)=0),$C15,""),"")</f>
      </c>
      <c r="X15">
        <f>IFERROR(ROUND(MAX(0,SUMIFS($D$6:$D15,$C$6:$C15,$B15,$A$6:$A15,"&lt;="&amp;$A15)*MAX(0,IFERROR(1+VLOOKUP($B15,$F$6:$I$19,4,FALSE),IFERROR(1+INDEX($U$6:$U$505,MATCH($B15,$S$6:$S$505,0)),1)))-(SUMIFS($D$6:$D15,$B$6:$B15,$B15,$A$6:$A15,"&lt;="&amp;$A15)-$D15)),2),0)</f>
      </c>
    </row>
    <row r="16" spans="1:24" x14ac:dyDescent="0.25">
      <c r="A16" s="9">
        <v>46317</v>
      </c>
      <c r="B16" s="10"/>
      <c r="C16" s="10"/>
      <c r="D16" s="11"/>
      <c r="F16" s="25">
        <f>IFERROR(IF(4&lt;=COUNTIF($P$6:$P$505,"?*"),INDEX($P$6:$P$505,AGGREGATE(15,6,(ROW($P$6:$P$505)-ROW($P$6)+1)/($P$6:$P$505&lt;&gt;""),4)),INDEX($Q$6:$Q$505,AGGREGATE(15,6,(ROW($Q$6:$Q$505)-ROW($Q$6)+1)/($Q$6:$Q$505&lt;&gt;""),4-COUNTIF($P$6:$P$505,"?*")))),"")</f>
      </c>
      <c r="G16" s="26">
        <f>IFERROR(IF($F16="","",IFERROR(INDEX($G$6:$G$12,MATCH(INDEX($B$6:$B$505,MATCH($F16,$C$6:$C$505,0)),$F$6:$F$12,0)),"Luis")),"")</f>
      </c>
      <c r="H16" s="27">
        <f>IFERROR(IF($F16="","",IF(AND(SUMIFS($D$6:$D$505,$C$6:$C$505,$F16)&gt;0,SUMIFS($D$6:$D$505,$C$6:$C$505,$F16)*MAX(0,IFERROR(1+$I16,1))-SUMIFS($D$6:$D$505,$B$6:$B$505,$F16)&lt;=0.005),"",MAX(0,SUMIFS($D$6:$D$505,$C$6:$C$505,$F16)-SUMIFS($D$6:$D$505,$B$6:$B$505,$F16)))),"")</f>
      </c>
      <c r="I16" s="28"/>
      <c r="J16" s="27">
        <f>IFERROR(IF($F16="","",IF(AND(SUMIFS($D$6:$D$505,$C$6:$C$505,$F16)&gt;0,SUMIFS($D$6:$D$505,$C$6:$C$505,$F16)*MAX(0,IFERROR(1+$I16,1))-SUMIFS($D$6:$D$505,$B$6:$B$505,$F16)&lt;=0.005),"",IF(OR($H16="",$K16=""),"",$K16-$H16))),"")</f>
      </c>
      <c r="K16" s="27">
        <f>IFERROR(IF($F16="","",IF(AND(SUMIFS($D$6:$D$505,$C$6:$C$505,$F16)&gt;0,SUMIFS($D$6:$D$505,$C$6:$C$505,$F16)*MAX(0,IFERROR(1+$I16,1))-SUMIFS($D$6:$D$505,$B$6:$B$505,$F16)&lt;=0.005),"",IF(SUMIFS($D$6:$D$505,$C$6:$C$505,$F16)*MAX(0,IFERROR(1+$I16,1))-SUMIFS($D$6:$D$505,$B$6:$B$505,$F16)&lt;=0.005,"",ROUND(SUMIFS($D$6:$D$505,$C$6:$C$505,$F16)*MAX(0,IFERROR(1+$I16,1))-SUMIFS($D$6:$D$505,$B$6:$B$505,$F16),2)))),"")</f>
      </c>
      <c r="P16">
        <f>IFERROR(IF(AND($B16&lt;&gt;"",$B16&lt;&gt;"Exterior",COUNTIF($B$6:B16,$B16)=1,COUNTIF($R$6:$R$12,$B16)=0),$B16,""),"")</f>
      </c>
      <c r="Q16">
        <f>IFERROR(IF(AND($C16&lt;&gt;"",$C16&lt;&gt;"Exterior",COUNTIF($C$6:C16,$C16)=1,COUNTIF($R$6:$R$12,$C16)=0,COUNTIF($B$6:$B$505,$C16)=0),$C16,""),"")</f>
      </c>
      <c r="X16">
        <f>IFERROR(ROUND(MAX(0,SUMIFS($D$6:$D16,$C$6:$C16,$B16,$A$6:$A16,"&lt;="&amp;$A16)*MAX(0,IFERROR(1+VLOOKUP($B16,$F$6:$I$19,4,FALSE),IFERROR(1+INDEX($U$6:$U$505,MATCH($B16,$S$6:$S$505,0)),1)))-(SUMIFS($D$6:$D16,$B$6:$B16,$B16,$A$6:$A16,"&lt;="&amp;$A16)-$D16)),2),0)</f>
      </c>
    </row>
    <row r="17" spans="1:24" x14ac:dyDescent="0.25">
      <c r="A17" s="9">
        <v>46317</v>
      </c>
      <c r="B17" s="10"/>
      <c r="C17" s="10"/>
      <c r="D17" s="11"/>
      <c r="F17" s="25">
        <f>IFERROR(IF(5&lt;=COUNTIF($P$6:$P$505,"?*"),INDEX($P$6:$P$505,AGGREGATE(15,6,(ROW($P$6:$P$505)-ROW($P$6)+1)/($P$6:$P$505&lt;&gt;""),5)),INDEX($Q$6:$Q$505,AGGREGATE(15,6,(ROW($Q$6:$Q$505)-ROW($Q$6)+1)/($Q$6:$Q$505&lt;&gt;""),5-COUNTIF($P$6:$P$505,"?*")))),"")</f>
      </c>
      <c r="G17" s="26">
        <f>IFERROR(IF($F17="","",IFERROR(INDEX($G$6:$G$12,MATCH(INDEX($B$6:$B$505,MATCH($F17,$C$6:$C$505,0)),$F$6:$F$12,0)),"Luis")),"")</f>
      </c>
      <c r="H17" s="27">
        <f>IFERROR(IF($F17="","",IF(AND(SUMIFS($D$6:$D$505,$C$6:$C$505,$F17)&gt;0,SUMIFS($D$6:$D$505,$C$6:$C$505,$F17)*MAX(0,IFERROR(1+$I17,1))-SUMIFS($D$6:$D$505,$B$6:$B$505,$F17)&lt;=0.005),"",MAX(0,SUMIFS($D$6:$D$505,$C$6:$C$505,$F17)-SUMIFS($D$6:$D$505,$B$6:$B$505,$F17)))),"")</f>
      </c>
      <c r="I17" s="28"/>
      <c r="J17" s="27">
        <f>IFERROR(IF($F17="","",IF(AND(SUMIFS($D$6:$D$505,$C$6:$C$505,$F17)&gt;0,SUMIFS($D$6:$D$505,$C$6:$C$505,$F17)*MAX(0,IFERROR(1+$I17,1))-SUMIFS($D$6:$D$505,$B$6:$B$505,$F17)&lt;=0.005),"",IF(OR($H17="",$K17=""),"",$K17-$H17))),"")</f>
      </c>
      <c r="K17" s="27">
        <f>IFERROR(IF($F17="","",IF(AND(SUMIFS($D$6:$D$505,$C$6:$C$505,$F17)&gt;0,SUMIFS($D$6:$D$505,$C$6:$C$505,$F17)*MAX(0,IFERROR(1+$I17,1))-SUMIFS($D$6:$D$505,$B$6:$B$505,$F17)&lt;=0.005),"",IF(SUMIFS($D$6:$D$505,$C$6:$C$505,$F17)*MAX(0,IFERROR(1+$I17,1))-SUMIFS($D$6:$D$505,$B$6:$B$505,$F17)&lt;=0.005,"",ROUND(SUMIFS($D$6:$D$505,$C$6:$C$505,$F17)*MAX(0,IFERROR(1+$I17,1))-SUMIFS($D$6:$D$505,$B$6:$B$505,$F17),2)))),"")</f>
      </c>
      <c r="P17">
        <f>IFERROR(IF(AND($B17&lt;&gt;"",$B17&lt;&gt;"Exterior",COUNTIF($B$6:B17,$B17)=1,COUNTIF($R$6:$R$12,$B17)=0),$B17,""),"")</f>
      </c>
      <c r="Q17">
        <f>IFERROR(IF(AND($C17&lt;&gt;"",$C17&lt;&gt;"Exterior",COUNTIF($C$6:C17,$C17)=1,COUNTIF($R$6:$R$12,$C17)=0,COUNTIF($B$6:$B$505,$C17)=0),$C17,""),"")</f>
      </c>
      <c r="X17">
        <f>IFERROR(ROUND(MAX(0,SUMIFS($D$6:$D17,$C$6:$C17,$B17,$A$6:$A17,"&lt;="&amp;$A17)*MAX(0,IFERROR(1+VLOOKUP($B17,$F$6:$I$19,4,FALSE),IFERROR(1+INDEX($U$6:$U$505,MATCH($B17,$S$6:$S$505,0)),1)))-(SUMIFS($D$6:$D17,$B$6:$B17,$B17,$A$6:$A17,"&lt;="&amp;$A17)-$D17)),2),0)</f>
      </c>
    </row>
    <row r="18" spans="1:24" x14ac:dyDescent="0.25">
      <c r="A18" s="9">
        <v>46317</v>
      </c>
      <c r="B18" s="10"/>
      <c r="C18" s="10"/>
      <c r="D18" s="11"/>
      <c r="F18" s="25">
        <f>IFERROR(IF(6&lt;=COUNTIF($P$6:$P$505,"?*"),INDEX($P$6:$P$505,AGGREGATE(15,6,(ROW($P$6:$P$505)-ROW($P$6)+1)/($P$6:$P$505&lt;&gt;""),6)),INDEX($Q$6:$Q$505,AGGREGATE(15,6,(ROW($Q$6:$Q$505)-ROW($Q$6)+1)/($Q$6:$Q$505&lt;&gt;""),6-COUNTIF($P$6:$P$505,"?*")))),"")</f>
      </c>
      <c r="G18" s="26">
        <f>IFERROR(IF($F18="","",IFERROR(INDEX($G$6:$G$12,MATCH(INDEX($B$6:$B$505,MATCH($F18,$C$6:$C$505,0)),$F$6:$F$12,0)),"Luis")),"")</f>
      </c>
      <c r="H18" s="27">
        <f>IFERROR(IF($F18="","",IF(AND(SUMIFS($D$6:$D$505,$C$6:$C$505,$F18)&gt;0,SUMIFS($D$6:$D$505,$C$6:$C$505,$F18)*MAX(0,IFERROR(1+$I18,1))-SUMIFS($D$6:$D$505,$B$6:$B$505,$F18)&lt;=0.005),"",MAX(0,SUMIFS($D$6:$D$505,$C$6:$C$505,$F18)-SUMIFS($D$6:$D$505,$B$6:$B$505,$F18)))),"")</f>
      </c>
      <c r="I18" s="28"/>
      <c r="J18" s="27">
        <f>IFERROR(IF($F18="","",IF(AND(SUMIFS($D$6:$D$505,$C$6:$C$505,$F18)&gt;0,SUMIFS($D$6:$D$505,$C$6:$C$505,$F18)*MAX(0,IFERROR(1+$I18,1))-SUMIFS($D$6:$D$505,$B$6:$B$505,$F18)&lt;=0.005),"",IF(OR($H18="",$K18=""),"",$K18-$H18))),"")</f>
      </c>
      <c r="K18" s="27">
        <f>IFERROR(IF($F18="","",IF(AND(SUMIFS($D$6:$D$505,$C$6:$C$505,$F18)&gt;0,SUMIFS($D$6:$D$505,$C$6:$C$505,$F18)*MAX(0,IFERROR(1+$I18,1))-SUMIFS($D$6:$D$505,$B$6:$B$505,$F18)&lt;=0.005),"",IF(SUMIFS($D$6:$D$505,$C$6:$C$505,$F18)*MAX(0,IFERROR(1+$I18,1))-SUMIFS($D$6:$D$505,$B$6:$B$505,$F18)&lt;=0.005,"",ROUND(SUMIFS($D$6:$D$505,$C$6:$C$505,$F18)*MAX(0,IFERROR(1+$I18,1))-SUMIFS($D$6:$D$505,$B$6:$B$505,$F18),2)))),"")</f>
      </c>
      <c r="P18">
        <f>IFERROR(IF(AND($B18&lt;&gt;"",$B18&lt;&gt;"Exterior",COUNTIF($B$6:B18,$B18)=1,COUNTIF($R$6:$R$12,$B18)=0),$B18,""),"")</f>
      </c>
      <c r="Q18">
        <f>IFERROR(IF(AND($C18&lt;&gt;"",$C18&lt;&gt;"Exterior",COUNTIF($C$6:C18,$C18)=1,COUNTIF($R$6:$R$12,$C18)=0,COUNTIF($B$6:$B$505,$C18)=0),$C18,""),"")</f>
      </c>
      <c r="X18">
        <f>IFERROR(ROUND(MAX(0,SUMIFS($D$6:$D18,$C$6:$C18,$B18,$A$6:$A18,"&lt;="&amp;$A18)*MAX(0,IFERROR(1+VLOOKUP($B18,$F$6:$I$19,4,FALSE),IFERROR(1+INDEX($U$6:$U$505,MATCH($B18,$S$6:$S$505,0)),1)))-(SUMIFS($D$6:$D18,$B$6:$B18,$B18,$A$6:$A18,"&lt;="&amp;$A18)-$D18)),2),0)</f>
      </c>
    </row>
    <row r="19" spans="1:24" x14ac:dyDescent="0.25">
      <c r="A19" s="9">
        <v>46317</v>
      </c>
      <c r="B19" s="10"/>
      <c r="C19" s="10"/>
      <c r="D19" s="11"/>
      <c r="F19" s="25">
        <f>IFERROR(IF(7&lt;=COUNTIF($P$6:$P$505,"?*"),INDEX($P$6:$P$505,AGGREGATE(15,6,(ROW($P$6:$P$505)-ROW($P$6)+1)/($P$6:$P$505&lt;&gt;""),7)),INDEX($Q$6:$Q$505,AGGREGATE(15,6,(ROW($Q$6:$Q$505)-ROW($Q$6)+1)/($Q$6:$Q$505&lt;&gt;""),7-COUNTIF($P$6:$P$505,"?*")))),"")</f>
      </c>
      <c r="G19" s="26">
        <f>IFERROR(IF($F19="","",IFERROR(INDEX($G$6:$G$12,MATCH(INDEX($B$6:$B$505,MATCH($F19,$C$6:$C$505,0)),$F$6:$F$12,0)),"Luis")),"")</f>
      </c>
      <c r="H19" s="27">
        <f>IFERROR(IF($F19="","",IF(AND(SUMIFS($D$6:$D$505,$C$6:$C$505,$F19)&gt;0,SUMIFS($D$6:$D$505,$C$6:$C$505,$F19)*MAX(0,IFERROR(1+$I19,1))-SUMIFS($D$6:$D$505,$B$6:$B$505,$F19)&lt;=0.005),"",MAX(0,SUMIFS($D$6:$D$505,$C$6:$C$505,$F19)-SUMIFS($D$6:$D$505,$B$6:$B$505,$F19)))),"")</f>
      </c>
      <c r="I19" s="28"/>
      <c r="J19" s="27">
        <f>IFERROR(IF($F19="","",IF(AND(SUMIFS($D$6:$D$505,$C$6:$C$505,$F19)&gt;0,SUMIFS($D$6:$D$505,$C$6:$C$505,$F19)*MAX(0,IFERROR(1+$I19,1))-SUMIFS($D$6:$D$505,$B$6:$B$505,$F19)&lt;=0.005),"",IF(OR($H19="",$K19=""),"",$K19-$H19))),"")</f>
      </c>
      <c r="K19" s="27">
        <f>IFERROR(IF($F19="","",IF(AND(SUMIFS($D$6:$D$505,$C$6:$C$505,$F19)&gt;0,SUMIFS($D$6:$D$505,$C$6:$C$505,$F19)*MAX(0,IFERROR(1+$I19,1))-SUMIFS($D$6:$D$505,$B$6:$B$505,$F19)&lt;=0.005),"",IF(SUMIFS($D$6:$D$505,$C$6:$C$505,$F19)*MAX(0,IFERROR(1+$I19,1))-SUMIFS($D$6:$D$505,$B$6:$B$505,$F19)&lt;=0.005,"",ROUND(SUMIFS($D$6:$D$505,$C$6:$C$505,$F19)*MAX(0,IFERROR(1+$I19,1))-SUMIFS($D$6:$D$505,$B$6:$B$505,$F19),2)))),"")</f>
      </c>
      <c r="P19">
        <f>IFERROR(IF(AND($B19&lt;&gt;"",$B19&lt;&gt;"Exterior",COUNTIF($B$6:B19,$B19)=1,COUNTIF($R$6:$R$12,$B19)=0),$B19,""),"")</f>
      </c>
      <c r="Q19">
        <f>IFERROR(IF(AND($C19&lt;&gt;"",$C19&lt;&gt;"Exterior",COUNTIF($C$6:C19,$C19)=1,COUNTIF($R$6:$R$12,$C19)=0,COUNTIF($B$6:$B$505,$C19)=0),$C19,""),"")</f>
      </c>
      <c r="X19">
        <f>IFERROR(ROUND(MAX(0,SUMIFS($D$6:$D19,$C$6:$C19,$B19,$A$6:$A19,"&lt;="&amp;$A19)*MAX(0,IFERROR(1+VLOOKUP($B19,$F$6:$I$19,4,FALSE),IFERROR(1+INDEX($U$6:$U$505,MATCH($B19,$S$6:$S$505,0)),1)))-(SUMIFS($D$6:$D19,$B$6:$B19,$B19,$A$6:$A19,"&lt;="&amp;$A19)-$D19)),2),0)</f>
      </c>
    </row>
    <row r="20" spans="1:24" x14ac:dyDescent="0.25">
      <c r="A20" s="9">
        <v>46317</v>
      </c>
      <c r="B20" s="10"/>
      <c r="C20" s="10"/>
      <c r="D20" s="11"/>
      <c r="P20">
        <f>IFERROR(IF(AND($B20&lt;&gt;"",$B20&lt;&gt;"Exterior",COUNTIF($B$6:B20,$B20)=1,COUNTIF($R$6:$R$12,$B20)=0),$B20,""),"")</f>
      </c>
      <c r="Q20">
        <f>IFERROR(IF(AND($C20&lt;&gt;"",$C20&lt;&gt;"Exterior",COUNTIF($C$6:C20,$C20)=1,COUNTIF($R$6:$R$12,$C20)=0,COUNTIF($B$6:$B$505,$C20)=0),$C20,""),"")</f>
      </c>
      <c r="X20">
        <f>IFERROR(ROUND(MAX(0,SUMIFS($D$6:$D20,$C$6:$C20,$B20,$A$6:$A20,"&lt;="&amp;$A20)*MAX(0,IFERROR(1+VLOOKUP($B20,$F$6:$I$19,4,FALSE),IFERROR(1+INDEX($U$6:$U$505,MATCH($B20,$S$6:$S$505,0)),1)))-(SUMIFS($D$6:$D20,$B$6:$B20,$B20,$A$6:$A20,"&lt;="&amp;$A20)-$D20)),2),0)</f>
      </c>
    </row>
    <row r="21" spans="1:24" x14ac:dyDescent="0.25">
      <c r="A21" s="9">
        <v>46317</v>
      </c>
      <c r="B21" s="10"/>
      <c r="C21" s="10"/>
      <c r="D21" s="11"/>
      <c r="F21" s="29" t="s">
        <v>29</v>
      </c>
      <c r="G21" s="30" t="s">
        <v>20</v>
      </c>
      <c r="H21" s="31">
        <f>IFERROR(IF(SUMIFS($H$6:$H$19,$G$6:$G$19,"Luis")=0,"",SUMIFS($H$6:$H$19,$G$6:$G$19,"Luis")),"")</f>
      </c>
      <c r="I21" s="32">
        <f>IFERROR(IF($H21=0,"",$J21/$H21),"")</f>
      </c>
      <c r="J21" s="31">
        <f>IFERROR(IF(SUMIFS($J$6:$J$19,$G$6:$G$19,"Luis")=0,"",SUMIFS($J$6:$J$19,$G$6:$G$19,"Luis")),"")</f>
      </c>
      <c r="K21" s="31">
        <f>IFERROR(IF(SUMIFS($K$6:$K$19,$G$6:$G$19,"Luis")=0,"",SUMIFS($K$6:$K$19,$G$6:$G$19,"Luis")),"")</f>
      </c>
      <c r="P21">
        <f>IFERROR(IF(AND($B21&lt;&gt;"",$B21&lt;&gt;"Exterior",COUNTIF($B$6:B21,$B21)=1,COUNTIF($R$6:$R$12,$B21)=0),$B21,""),"")</f>
      </c>
      <c r="Q21">
        <f>IFERROR(IF(AND($C21&lt;&gt;"",$C21&lt;&gt;"Exterior",COUNTIF($C$6:C21,$C21)=1,COUNTIF($R$6:$R$12,$C21)=0,COUNTIF($B$6:$B$505,$C21)=0),$C21,""),"")</f>
      </c>
      <c r="X21">
        <f>IFERROR(ROUND(MAX(0,SUMIFS($D$6:$D21,$C$6:$C21,$B21,$A$6:$A21,"&lt;="&amp;$A21)*MAX(0,IFERROR(1+VLOOKUP($B21,$F$6:$I$19,4,FALSE),IFERROR(1+INDEX($U$6:$U$505,MATCH($B21,$S$6:$S$505,0)),1)))-(SUMIFS($D$6:$D21,$B$6:$B21,$B21,$A$6:$A21,"&lt;="&amp;$A21)-$D21)),2),0)</f>
      </c>
    </row>
    <row r="22" spans="1:24" x14ac:dyDescent="0.25">
      <c r="A22" s="9">
        <v>46317</v>
      </c>
      <c r="B22" s="10"/>
      <c r="C22" s="10"/>
      <c r="D22" s="11"/>
      <c r="F22" s="29" t="s">
        <v>30</v>
      </c>
      <c r="G22" s="30" t="s">
        <v>27</v>
      </c>
      <c r="H22" s="31">
        <f>IFERROR(IF(SUMIFS($H$6:$H$19,$G$6:$G$19,"Fondo ahorro")=0,"",SUMIFS($H$6:$H$19,$G$6:$G$19,"Fondo ahorro")),"")</f>
      </c>
      <c r="I22" s="32">
        <f>IFERROR(IF($H22=0,"",$J22/$H22),"")</f>
      </c>
      <c r="J22" s="31">
        <f>IFERROR(IF(SUMIFS($J$6:$J$19,$G$6:$G$19,"Fondo ahorro")=0,"",SUMIFS($J$6:$J$19,$G$6:$G$19,"Fondo ahorro")),"")</f>
      </c>
      <c r="K22" s="31">
        <f>IFERROR(IF(SUMIFS($K$6:$K$19,$G$6:$G$19,"Fondo ahorro")=0,"",SUMIFS($K$6:$K$19,$G$6:$G$19,"Fondo ahorro")),"")</f>
      </c>
      <c r="P22">
        <f>IFERROR(IF(AND($B22&lt;&gt;"",$B22&lt;&gt;"Exterior",COUNTIF($B$6:B22,$B22)=1,COUNTIF($R$6:$R$12,$B22)=0),$B22,""),"")</f>
      </c>
      <c r="Q22">
        <f>IFERROR(IF(AND($C22&lt;&gt;"",$C22&lt;&gt;"Exterior",COUNTIF($C$6:C22,$C22)=1,COUNTIF($R$6:$R$12,$C22)=0,COUNTIF($B$6:$B$505,$C22)=0),$C22,""),"")</f>
      </c>
      <c r="X22">
        <f>IFERROR(ROUND(MAX(0,SUMIFS($D$6:$D22,$C$6:$C22,$B22,$A$6:$A22,"&lt;="&amp;$A22)*MAX(0,IFERROR(1+VLOOKUP($B22,$F$6:$I$19,4,FALSE),IFERROR(1+INDEX($U$6:$U$505,MATCH($B22,$S$6:$S$505,0)),1)))-(SUMIFS($D$6:$D22,$B$6:$B22,$B22,$A$6:$A22,"&lt;="&amp;$A22)-$D22)),2),0)</f>
      </c>
    </row>
    <row r="23" ht="18" customHeight="1" spans="1:24" x14ac:dyDescent="0.25">
      <c r="A23" s="9">
        <v>46317</v>
      </c>
      <c r="B23" s="10"/>
      <c r="C23" s="10"/>
      <c r="D23" s="11"/>
      <c r="F23" s="33" t="s">
        <v>31</v>
      </c>
      <c r="G23" s="33"/>
      <c r="H23" s="34">
        <f>IFERROR(IF(SUM($H$6:$H$19)=0,"",SUM($H$6:$H$19)),"")</f>
      </c>
      <c r="I23" s="35">
        <f>IFERROR(IF($H23=0,"",$J23/$H23),"")</f>
      </c>
      <c r="J23" s="34">
        <f>IFERROR(IF(SUM($J$6:$J$19)=0,"",SUM($J$6:$J$19)),"")</f>
      </c>
      <c r="K23" s="34">
        <f>IFERROR(IF(SUM($K$6:$K$19)=0,"",SUM($K$6:$K$19)),"")</f>
      </c>
      <c r="P23">
        <f>IFERROR(IF(AND($B23&lt;&gt;"",$B23&lt;&gt;"Exterior",COUNTIF($B$6:B23,$B23)=1,COUNTIF($R$6:$R$12,$B23)=0),$B23,""),"")</f>
      </c>
      <c r="Q23">
        <f>IFERROR(IF(AND($C23&lt;&gt;"",$C23&lt;&gt;"Exterior",COUNTIF($C$6:C23,$C23)=1,COUNTIF($R$6:$R$12,$C23)=0,COUNTIF($B$6:$B$505,$C23)=0),$C23,""),"")</f>
      </c>
      <c r="X23">
        <f>IFERROR(ROUND(MAX(0,SUMIFS($D$6:$D23,$C$6:$C23,$B23,$A$6:$A23,"&lt;="&amp;$A23)*MAX(0,IFERROR(1+VLOOKUP($B23,$F$6:$I$19,4,FALSE),IFERROR(1+INDEX($U$6:$U$505,MATCH($B23,$S$6:$S$505,0)),1)))-(SUMIFS($D$6:$D23,$B$6:$B23,$B23,$A$6:$A23,"&lt;="&amp;$A23)-$D23)),2),0)</f>
      </c>
    </row>
    <row r="24" spans="1:24" x14ac:dyDescent="0.25">
      <c r="A24" s="9">
        <v>46317</v>
      </c>
      <c r="B24" s="10"/>
      <c r="C24" s="10"/>
      <c r="D24" s="11"/>
      <c r="P24">
        <f>IFERROR(IF(AND($B24&lt;&gt;"",$B24&lt;&gt;"Exterior",COUNTIF($B$6:B24,$B24)=1,COUNTIF($R$6:$R$12,$B24)=0),$B24,""),"")</f>
      </c>
      <c r="Q24">
        <f>IFERROR(IF(AND($C24&lt;&gt;"",$C24&lt;&gt;"Exterior",COUNTIF($C$6:C24,$C24)=1,COUNTIF($R$6:$R$12,$C24)=0,COUNTIF($B$6:$B$505,$C24)=0),$C24,""),"")</f>
      </c>
      <c r="X24">
        <f>IFERROR(ROUND(MAX(0,SUMIFS($D$6:$D24,$C$6:$C24,$B24,$A$6:$A24,"&lt;="&amp;$A24)*MAX(0,IFERROR(1+VLOOKUP($B24,$F$6:$I$19,4,FALSE),IFERROR(1+INDEX($U$6:$U$505,MATCH($B24,$S$6:$S$505,0)),1)))-(SUMIFS($D$6:$D24,$B$6:$B24,$B24,$A$6:$A24,"&lt;="&amp;$A24)-$D24)),2),0)</f>
      </c>
    </row>
    <row r="25" spans="1:24" x14ac:dyDescent="0.25">
      <c r="A25" s="36" t="s">
        <v>32</v>
      </c>
      <c r="B25" s="36"/>
      <c r="C25" s="36"/>
      <c r="D25" s="36"/>
      <c r="E25" s="36"/>
      <c r="F25" s="36"/>
      <c r="G25" s="36"/>
      <c r="H25" s="36"/>
      <c r="I25" s="36"/>
      <c r="J25" s="36"/>
      <c r="K25" s="36"/>
      <c r="P25">
        <f>IFERROR(IF(AND($B25&lt;&gt;"",$B25&lt;&gt;"Exterior",COUNTIF($B$6:B25,$B25)=1,COUNTIF($R$6:$R$12,$B25)=0),$B25,""),"")</f>
      </c>
      <c r="Q25">
        <f>IFERROR(IF(AND($C25&lt;&gt;"",$C25&lt;&gt;"Exterior",COUNTIF($C$6:C25,$C25)=1,COUNTIF($R$6:$R$12,$C25)=0,COUNTIF($B$6:$B$505,$C25)=0),$C25,""),"")</f>
      </c>
      <c r="X25">
        <f>IFERROR(ROUND(MAX(0,SUMIFS($D$6:$D25,$C$6:$C25,$B25,$A$6:$A25,"&lt;="&amp;$A25)*MAX(0,IFERROR(1+VLOOKUP($B25,$F$6:$I$19,4,FALSE),IFERROR(1+INDEX($U$6:$U$505,MATCH($B25,$S$6:$S$505,0)),1)))-(SUMIFS($D$6:$D25,$B$6:$B25,$B25,$A$6:$A25,"&lt;="&amp;$A25)-$D25)),2),0)</f>
      </c>
    </row>
    <row r="26" spans="1:24" x14ac:dyDescent="0.25">
      <c r="A26" s="36" t="s">
        <v>33</v>
      </c>
      <c r="B26" s="36"/>
      <c r="C26" s="36"/>
      <c r="D26" s="36"/>
      <c r="E26" s="36"/>
      <c r="F26" s="36"/>
      <c r="G26" s="36"/>
      <c r="H26" s="36"/>
      <c r="I26" s="36"/>
      <c r="J26" s="36"/>
      <c r="K26" s="36"/>
      <c r="P26">
        <f>IFERROR(IF(AND($B26&lt;&gt;"",$B26&lt;&gt;"Exterior",COUNTIF($B$6:B26,$B26)=1,COUNTIF($R$6:$R$12,$B26)=0),$B26,""),"")</f>
      </c>
      <c r="Q26">
        <f>IFERROR(IF(AND($C26&lt;&gt;"",$C26&lt;&gt;"Exterior",COUNTIF($C$6:C26,$C26)=1,COUNTIF($R$6:$R$12,$C26)=0,COUNTIF($B$6:$B$505,$C26)=0),$C26,""),"")</f>
      </c>
      <c r="X26">
        <f>IFERROR(ROUND(MAX(0,SUMIFS($D$6:$D26,$C$6:$C26,$B26,$A$6:$A26,"&lt;="&amp;$A26)*MAX(0,IFERROR(1+VLOOKUP($B26,$F$6:$I$19,4,FALSE),IFERROR(1+INDEX($U$6:$U$505,MATCH($B26,$S$6:$S$505,0)),1)))-(SUMIFS($D$6:$D26,$B$6:$B26,$B26,$A$6:$A26,"&lt;="&amp;$A26)-$D26)),2),0)</f>
      </c>
    </row>
    <row r="27" spans="1:24" x14ac:dyDescent="0.25">
      <c r="A27" s="9">
        <v>46317</v>
      </c>
      <c r="B27" s="10"/>
      <c r="C27" s="10"/>
      <c r="D27" s="11"/>
      <c r="P27">
        <f>IFERROR(IF(AND($B27&lt;&gt;"",$B27&lt;&gt;"Exterior",COUNTIF($B$6:B27,$B27)=1,COUNTIF($R$6:$R$12,$B27)=0),$B27,""),"")</f>
      </c>
      <c r="Q27">
        <f>IFERROR(IF(AND($C27&lt;&gt;"",$C27&lt;&gt;"Exterior",COUNTIF($C$6:C27,$C27)=1,COUNTIF($R$6:$R$12,$C27)=0,COUNTIF($B$6:$B$505,$C27)=0),$C27,""),"")</f>
      </c>
      <c r="X27">
        <f>IFERROR(ROUND(MAX(0,SUMIFS($D$6:$D27,$C$6:$C27,$B27,$A$6:$A27,"&lt;="&amp;$A27)*MAX(0,IFERROR(1+VLOOKUP($B27,$F$6:$I$19,4,FALSE),IFERROR(1+INDEX($U$6:$U$505,MATCH($B27,$S$6:$S$505,0)),1)))-(SUMIFS($D$6:$D27,$B$6:$B27,$B27,$A$6:$A27,"&lt;="&amp;$A27)-$D27)),2),0)</f>
      </c>
    </row>
    <row r="28" spans="1:24" x14ac:dyDescent="0.25">
      <c r="A28" s="9">
        <v>46317</v>
      </c>
      <c r="B28" s="10"/>
      <c r="C28" s="10"/>
      <c r="D28" s="11"/>
      <c r="P28">
        <f>IFERROR(IF(AND($B28&lt;&gt;"",$B28&lt;&gt;"Exterior",COUNTIF($B$6:B28,$B28)=1,COUNTIF($R$6:$R$12,$B28)=0),$B28,""),"")</f>
      </c>
      <c r="Q28">
        <f>IFERROR(IF(AND($C28&lt;&gt;"",$C28&lt;&gt;"Exterior",COUNTIF($C$6:C28,$C28)=1,COUNTIF($R$6:$R$12,$C28)=0,COUNTIF($B$6:$B$505,$C28)=0),$C28,""),"")</f>
      </c>
      <c r="X28">
        <f>IFERROR(ROUND(MAX(0,SUMIFS($D$6:$D28,$C$6:$C28,$B28,$A$6:$A28,"&lt;="&amp;$A28)*MAX(0,IFERROR(1+VLOOKUP($B28,$F$6:$I$19,4,FALSE),IFERROR(1+INDEX($U$6:$U$505,MATCH($B28,$S$6:$S$505,0)),1)))-(SUMIFS($D$6:$D28,$B$6:$B28,$B28,$A$6:$A28,"&lt;="&amp;$A28)-$D28)),2),0)</f>
      </c>
    </row>
    <row r="29" spans="1:24" x14ac:dyDescent="0.25">
      <c r="A29" s="9">
        <v>46317</v>
      </c>
      <c r="B29" s="10"/>
      <c r="C29" s="10"/>
      <c r="D29" s="11"/>
      <c r="P29">
        <f>IFERROR(IF(AND($B29&lt;&gt;"",$B29&lt;&gt;"Exterior",COUNTIF($B$6:B29,$B29)=1,COUNTIF($R$6:$R$12,$B29)=0),$B29,""),"")</f>
      </c>
      <c r="Q29">
        <f>IFERROR(IF(AND($C29&lt;&gt;"",$C29&lt;&gt;"Exterior",COUNTIF($C$6:C29,$C29)=1,COUNTIF($R$6:$R$12,$C29)=0,COUNTIF($B$6:$B$505,$C29)=0),$C29,""),"")</f>
      </c>
      <c r="X29">
        <f>IFERROR(ROUND(MAX(0,SUMIFS($D$6:$D29,$C$6:$C29,$B29,$A$6:$A29,"&lt;="&amp;$A29)*MAX(0,IFERROR(1+VLOOKUP($B29,$F$6:$I$19,4,FALSE),IFERROR(1+INDEX($U$6:$U$505,MATCH($B29,$S$6:$S$505,0)),1)))-(SUMIFS($D$6:$D29,$B$6:$B29,$B29,$A$6:$A29,"&lt;="&amp;$A29)-$D29)),2),0)</f>
      </c>
    </row>
    <row r="30" spans="1:24" x14ac:dyDescent="0.25">
      <c r="A30" s="9">
        <v>46317</v>
      </c>
      <c r="B30" s="10"/>
      <c r="C30" s="10"/>
      <c r="D30" s="11"/>
      <c r="P30">
        <f>IFERROR(IF(AND($B30&lt;&gt;"",$B30&lt;&gt;"Exterior",COUNTIF($B$6:B30,$B30)=1,COUNTIF($R$6:$R$12,$B30)=0),$B30,""),"")</f>
      </c>
      <c r="Q30">
        <f>IFERROR(IF(AND($C30&lt;&gt;"",$C30&lt;&gt;"Exterior",COUNTIF($C$6:C30,$C30)=1,COUNTIF($R$6:$R$12,$C30)=0,COUNTIF($B$6:$B$505,$C30)=0),$C30,""),"")</f>
      </c>
      <c r="X30">
        <f>IFERROR(ROUND(MAX(0,SUMIFS($D$6:$D30,$C$6:$C30,$B30,$A$6:$A30,"&lt;="&amp;$A30)*MAX(0,IFERROR(1+VLOOKUP($B30,$F$6:$I$19,4,FALSE),IFERROR(1+INDEX($U$6:$U$505,MATCH($B30,$S$6:$S$505,0)),1)))-(SUMIFS($D$6:$D30,$B$6:$B30,$B30,$A$6:$A30,"&lt;="&amp;$A30)-$D30)),2),0)</f>
      </c>
    </row>
    <row r="31" spans="1:24" x14ac:dyDescent="0.25">
      <c r="A31" s="9">
        <v>46317</v>
      </c>
      <c r="B31" s="10"/>
      <c r="C31" s="10"/>
      <c r="D31" s="11"/>
      <c r="P31">
        <f>IFERROR(IF(AND($B31&lt;&gt;"",$B31&lt;&gt;"Exterior",COUNTIF($B$6:B31,$B31)=1,COUNTIF($R$6:$R$12,$B31)=0),$B31,""),"")</f>
      </c>
      <c r="Q31">
        <f>IFERROR(IF(AND($C31&lt;&gt;"",$C31&lt;&gt;"Exterior",COUNTIF($C$6:C31,$C31)=1,COUNTIF($R$6:$R$12,$C31)=0,COUNTIF($B$6:$B$505,$C31)=0),$C31,""),"")</f>
      </c>
      <c r="X31">
        <f>IFERROR(ROUND(MAX(0,SUMIFS($D$6:$D31,$C$6:$C31,$B31,$A$6:$A31,"&lt;="&amp;$A31)*MAX(0,IFERROR(1+VLOOKUP($B31,$F$6:$I$19,4,FALSE),IFERROR(1+INDEX($U$6:$U$505,MATCH($B31,$S$6:$S$505,0)),1)))-(SUMIFS($D$6:$D31,$B$6:$B31,$B31,$A$6:$A31,"&lt;="&amp;$A31)-$D31)),2),0)</f>
      </c>
    </row>
    <row r="32" spans="1:24" x14ac:dyDescent="0.25">
      <c r="A32" s="9">
        <v>46317</v>
      </c>
      <c r="B32" s="10"/>
      <c r="C32" s="10"/>
      <c r="D32" s="11"/>
      <c r="P32">
        <f>IFERROR(IF(AND($B32&lt;&gt;"",$B32&lt;&gt;"Exterior",COUNTIF($B$6:B32,$B32)=1,COUNTIF($R$6:$R$12,$B32)=0),$B32,""),"")</f>
      </c>
      <c r="Q32">
        <f>IFERROR(IF(AND($C32&lt;&gt;"",$C32&lt;&gt;"Exterior",COUNTIF($C$6:C32,$C32)=1,COUNTIF($R$6:$R$12,$C32)=0,COUNTIF($B$6:$B$505,$C32)=0),$C32,""),"")</f>
      </c>
      <c r="X32">
        <f>IFERROR(ROUND(MAX(0,SUMIFS($D$6:$D32,$C$6:$C32,$B32,$A$6:$A32,"&lt;="&amp;$A32)*MAX(0,IFERROR(1+VLOOKUP($B32,$F$6:$I$19,4,FALSE),IFERROR(1+INDEX($U$6:$U$505,MATCH($B32,$S$6:$S$505,0)),1)))-(SUMIFS($D$6:$D32,$B$6:$B32,$B32,$A$6:$A32,"&lt;="&amp;$A32)-$D32)),2),0)</f>
      </c>
    </row>
    <row r="33" spans="1:24" x14ac:dyDescent="0.25">
      <c r="A33" s="9">
        <v>46317</v>
      </c>
      <c r="B33" s="10"/>
      <c r="C33" s="10"/>
      <c r="D33" s="11"/>
      <c r="P33">
        <f>IFERROR(IF(AND($B33&lt;&gt;"",$B33&lt;&gt;"Exterior",COUNTIF($B$6:B33,$B33)=1,COUNTIF($R$6:$R$12,$B33)=0),$B33,""),"")</f>
      </c>
      <c r="Q33">
        <f>IFERROR(IF(AND($C33&lt;&gt;"",$C33&lt;&gt;"Exterior",COUNTIF($C$6:C33,$C33)=1,COUNTIF($R$6:$R$12,$C33)=0,COUNTIF($B$6:$B$505,$C33)=0),$C33,""),"")</f>
      </c>
      <c r="X33">
        <f>IFERROR(ROUND(MAX(0,SUMIFS($D$6:$D33,$C$6:$C33,$B33,$A$6:$A33,"&lt;="&amp;$A33)*MAX(0,IFERROR(1+VLOOKUP($B33,$F$6:$I$19,4,FALSE),IFERROR(1+INDEX($U$6:$U$505,MATCH($B33,$S$6:$S$505,0)),1)))-(SUMIFS($D$6:$D33,$B$6:$B33,$B33,$A$6:$A33,"&lt;="&amp;$A33)-$D33)),2),0)</f>
      </c>
    </row>
    <row r="34" spans="1:24" x14ac:dyDescent="0.25">
      <c r="A34" s="9">
        <v>46317</v>
      </c>
      <c r="B34" s="10"/>
      <c r="C34" s="10"/>
      <c r="D34" s="11"/>
      <c r="P34">
        <f>IFERROR(IF(AND($B34&lt;&gt;"",$B34&lt;&gt;"Exterior",COUNTIF($B$6:B34,$B34)=1,COUNTIF($R$6:$R$12,$B34)=0),$B34,""),"")</f>
      </c>
      <c r="Q34">
        <f>IFERROR(IF(AND($C34&lt;&gt;"",$C34&lt;&gt;"Exterior",COUNTIF($C$6:C34,$C34)=1,COUNTIF($R$6:$R$12,$C34)=0,COUNTIF($B$6:$B$505,$C34)=0),$C34,""),"")</f>
      </c>
      <c r="X34">
        <f>IFERROR(ROUND(MAX(0,SUMIFS($D$6:$D34,$C$6:$C34,$B34,$A$6:$A34,"&lt;="&amp;$A34)*MAX(0,IFERROR(1+VLOOKUP($B34,$F$6:$I$19,4,FALSE),IFERROR(1+INDEX($U$6:$U$505,MATCH($B34,$S$6:$S$505,0)),1)))-(SUMIFS($D$6:$D34,$B$6:$B34,$B34,$A$6:$A34,"&lt;="&amp;$A34)-$D34)),2),0)</f>
      </c>
    </row>
    <row r="35" spans="1:24" x14ac:dyDescent="0.25">
      <c r="A35" s="9">
        <v>46317</v>
      </c>
      <c r="B35" s="10"/>
      <c r="C35" s="10"/>
      <c r="D35" s="11"/>
      <c r="P35">
        <f>IFERROR(IF(AND($B35&lt;&gt;"",$B35&lt;&gt;"Exterior",COUNTIF($B$6:B35,$B35)=1,COUNTIF($R$6:$R$12,$B35)=0),$B35,""),"")</f>
      </c>
      <c r="Q35">
        <f>IFERROR(IF(AND($C35&lt;&gt;"",$C35&lt;&gt;"Exterior",COUNTIF($C$6:C35,$C35)=1,COUNTIF($R$6:$R$12,$C35)=0,COUNTIF($B$6:$B$505,$C35)=0),$C35,""),"")</f>
      </c>
      <c r="X35">
        <f>IFERROR(ROUND(MAX(0,SUMIFS($D$6:$D35,$C$6:$C35,$B35,$A$6:$A35,"&lt;="&amp;$A35)*MAX(0,IFERROR(1+VLOOKUP($B35,$F$6:$I$19,4,FALSE),IFERROR(1+INDEX($U$6:$U$505,MATCH($B35,$S$6:$S$505,0)),1)))-(SUMIFS($D$6:$D35,$B$6:$B35,$B35,$A$6:$A35,"&lt;="&amp;$A35)-$D35)),2),0)</f>
      </c>
    </row>
    <row r="36" spans="1:24" x14ac:dyDescent="0.25">
      <c r="A36" s="9">
        <v>46317</v>
      </c>
      <c r="B36" s="10"/>
      <c r="C36" s="10"/>
      <c r="D36" s="11"/>
      <c r="P36">
        <f>IFERROR(IF(AND($B36&lt;&gt;"",$B36&lt;&gt;"Exterior",COUNTIF($B$6:B36,$B36)=1,COUNTIF($R$6:$R$12,$B36)=0),$B36,""),"")</f>
      </c>
      <c r="Q36">
        <f>IFERROR(IF(AND($C36&lt;&gt;"",$C36&lt;&gt;"Exterior",COUNTIF($C$6:C36,$C36)=1,COUNTIF($R$6:$R$12,$C36)=0,COUNTIF($B$6:$B$505,$C36)=0),$C36,""),"")</f>
      </c>
      <c r="X36">
        <f>IFERROR(ROUND(MAX(0,SUMIFS($D$6:$D36,$C$6:$C36,$B36,$A$6:$A36,"&lt;="&amp;$A36)*MAX(0,IFERROR(1+VLOOKUP($B36,$F$6:$I$19,4,FALSE),IFERROR(1+INDEX($U$6:$U$505,MATCH($B36,$S$6:$S$505,0)),1)))-(SUMIFS($D$6:$D36,$B$6:$B36,$B36,$A$6:$A36,"&lt;="&amp;$A36)-$D36)),2),0)</f>
      </c>
    </row>
    <row r="37" spans="1:24" x14ac:dyDescent="0.25">
      <c r="A37" s="9">
        <v>46317</v>
      </c>
      <c r="B37" s="10"/>
      <c r="C37" s="10"/>
      <c r="D37" s="11"/>
      <c r="P37">
        <f>IFERROR(IF(AND($B37&lt;&gt;"",$B37&lt;&gt;"Exterior",COUNTIF($B$6:B37,$B37)=1,COUNTIF($R$6:$R$12,$B37)=0),$B37,""),"")</f>
      </c>
      <c r="Q37">
        <f>IFERROR(IF(AND($C37&lt;&gt;"",$C37&lt;&gt;"Exterior",COUNTIF($C$6:C37,$C37)=1,COUNTIF($R$6:$R$12,$C37)=0,COUNTIF($B$6:$B$505,$C37)=0),$C37,""),"")</f>
      </c>
      <c r="X37">
        <f>IFERROR(ROUND(MAX(0,SUMIFS($D$6:$D37,$C$6:$C37,$B37,$A$6:$A37,"&lt;="&amp;$A37)*MAX(0,IFERROR(1+VLOOKUP($B37,$F$6:$I$19,4,FALSE),IFERROR(1+INDEX($U$6:$U$505,MATCH($B37,$S$6:$S$505,0)),1)))-(SUMIFS($D$6:$D37,$B$6:$B37,$B37,$A$6:$A37,"&lt;="&amp;$A37)-$D37)),2),0)</f>
      </c>
    </row>
    <row r="38" spans="1:24" x14ac:dyDescent="0.25">
      <c r="A38" s="9">
        <v>46317</v>
      </c>
      <c r="B38" s="10"/>
      <c r="C38" s="10"/>
      <c r="D38" s="11"/>
      <c r="P38">
        <f>IFERROR(IF(AND($B38&lt;&gt;"",$B38&lt;&gt;"Exterior",COUNTIF($B$6:B38,$B38)=1,COUNTIF($R$6:$R$12,$B38)=0),$B38,""),"")</f>
      </c>
      <c r="Q38">
        <f>IFERROR(IF(AND($C38&lt;&gt;"",$C38&lt;&gt;"Exterior",COUNTIF($C$6:C38,$C38)=1,COUNTIF($R$6:$R$12,$C38)=0,COUNTIF($B$6:$B$505,$C38)=0),$C38,""),"")</f>
      </c>
      <c r="X38">
        <f>IFERROR(ROUND(MAX(0,SUMIFS($D$6:$D38,$C$6:$C38,$B38,$A$6:$A38,"&lt;="&amp;$A38)*MAX(0,IFERROR(1+VLOOKUP($B38,$F$6:$I$19,4,FALSE),IFERROR(1+INDEX($U$6:$U$505,MATCH($B38,$S$6:$S$505,0)),1)))-(SUMIFS($D$6:$D38,$B$6:$B38,$B38,$A$6:$A38,"&lt;="&amp;$A38)-$D38)),2),0)</f>
      </c>
    </row>
    <row r="39" spans="1:24" x14ac:dyDescent="0.25">
      <c r="A39" s="9">
        <v>46317</v>
      </c>
      <c r="B39" s="10"/>
      <c r="C39" s="10"/>
      <c r="D39" s="11"/>
      <c r="P39">
        <f>IFERROR(IF(AND($B39&lt;&gt;"",$B39&lt;&gt;"Exterior",COUNTIF($B$6:B39,$B39)=1,COUNTIF($R$6:$R$12,$B39)=0),$B39,""),"")</f>
      </c>
      <c r="Q39">
        <f>IFERROR(IF(AND($C39&lt;&gt;"",$C39&lt;&gt;"Exterior",COUNTIF($C$6:C39,$C39)=1,COUNTIF($R$6:$R$12,$C39)=0,COUNTIF($B$6:$B$505,$C39)=0),$C39,""),"")</f>
      </c>
      <c r="X39">
        <f>IFERROR(ROUND(MAX(0,SUMIFS($D$6:$D39,$C$6:$C39,$B39,$A$6:$A39,"&lt;="&amp;$A39)*MAX(0,IFERROR(1+VLOOKUP($B39,$F$6:$I$19,4,FALSE),IFERROR(1+INDEX($U$6:$U$505,MATCH($B39,$S$6:$S$505,0)),1)))-(SUMIFS($D$6:$D39,$B$6:$B39,$B39,$A$6:$A39,"&lt;="&amp;$A39)-$D39)),2),0)</f>
      </c>
    </row>
    <row r="40" spans="1:24" x14ac:dyDescent="0.25">
      <c r="A40" s="9">
        <v>46317</v>
      </c>
      <c r="B40" s="10"/>
      <c r="C40" s="10"/>
      <c r="D40" s="11"/>
      <c r="P40">
        <f>IFERROR(IF(AND($B40&lt;&gt;"",$B40&lt;&gt;"Exterior",COUNTIF($B$6:B40,$B40)=1,COUNTIF($R$6:$R$12,$B40)=0),$B40,""),"")</f>
      </c>
      <c r="Q40">
        <f>IFERROR(IF(AND($C40&lt;&gt;"",$C40&lt;&gt;"Exterior",COUNTIF($C$6:C40,$C40)=1,COUNTIF($R$6:$R$12,$C40)=0,COUNTIF($B$6:$B$505,$C40)=0),$C40,""),"")</f>
      </c>
      <c r="X40">
        <f>IFERROR(ROUND(MAX(0,SUMIFS($D$6:$D40,$C$6:$C40,$B40,$A$6:$A40,"&lt;="&amp;$A40)*MAX(0,IFERROR(1+VLOOKUP($B40,$F$6:$I$19,4,FALSE),IFERROR(1+INDEX($U$6:$U$505,MATCH($B40,$S$6:$S$505,0)),1)))-(SUMIFS($D$6:$D40,$B$6:$B40,$B40,$A$6:$A40,"&lt;="&amp;$A40)-$D40)),2),0)</f>
      </c>
    </row>
    <row r="41" spans="1:24" x14ac:dyDescent="0.25">
      <c r="A41" s="9">
        <v>46317</v>
      </c>
      <c r="B41" s="10"/>
      <c r="C41" s="10"/>
      <c r="D41" s="11"/>
      <c r="P41">
        <f>IFERROR(IF(AND($B41&lt;&gt;"",$B41&lt;&gt;"Exterior",COUNTIF($B$6:B41,$B41)=1,COUNTIF($R$6:$R$12,$B41)=0),$B41,""),"")</f>
      </c>
      <c r="Q41">
        <f>IFERROR(IF(AND($C41&lt;&gt;"",$C41&lt;&gt;"Exterior",COUNTIF($C$6:C41,$C41)=1,COUNTIF($R$6:$R$12,$C41)=0,COUNTIF($B$6:$B$505,$C41)=0),$C41,""),"")</f>
      </c>
      <c r="X41">
        <f>IFERROR(ROUND(MAX(0,SUMIFS($D$6:$D41,$C$6:$C41,$B41,$A$6:$A41,"&lt;="&amp;$A41)*MAX(0,IFERROR(1+VLOOKUP($B41,$F$6:$I$19,4,FALSE),IFERROR(1+INDEX($U$6:$U$505,MATCH($B41,$S$6:$S$505,0)),1)))-(SUMIFS($D$6:$D41,$B$6:$B41,$B41,$A$6:$A41,"&lt;="&amp;$A41)-$D41)),2),0)</f>
      </c>
    </row>
    <row r="42" spans="1:24" x14ac:dyDescent="0.25">
      <c r="A42" s="9">
        <v>46317</v>
      </c>
      <c r="B42" s="10"/>
      <c r="C42" s="10"/>
      <c r="D42" s="11"/>
      <c r="P42">
        <f>IFERROR(IF(AND($B42&lt;&gt;"",$B42&lt;&gt;"Exterior",COUNTIF($B$6:B42,$B42)=1,COUNTIF($R$6:$R$12,$B42)=0),$B42,""),"")</f>
      </c>
      <c r="Q42">
        <f>IFERROR(IF(AND($C42&lt;&gt;"",$C42&lt;&gt;"Exterior",COUNTIF($C$6:C42,$C42)=1,COUNTIF($R$6:$R$12,$C42)=0,COUNTIF($B$6:$B$505,$C42)=0),$C42,""),"")</f>
      </c>
      <c r="X42">
        <f>IFERROR(ROUND(MAX(0,SUMIFS($D$6:$D42,$C$6:$C42,$B42,$A$6:$A42,"&lt;="&amp;$A42)*MAX(0,IFERROR(1+VLOOKUP($B42,$F$6:$I$19,4,FALSE),IFERROR(1+INDEX($U$6:$U$505,MATCH($B42,$S$6:$S$505,0)),1)))-(SUMIFS($D$6:$D42,$B$6:$B42,$B42,$A$6:$A42,"&lt;="&amp;$A42)-$D42)),2),0)</f>
      </c>
    </row>
    <row r="43" spans="1:24" x14ac:dyDescent="0.25">
      <c r="A43" s="9">
        <v>46317</v>
      </c>
      <c r="B43" s="10"/>
      <c r="C43" s="10"/>
      <c r="D43" s="11"/>
      <c r="P43">
        <f>IFERROR(IF(AND($B43&lt;&gt;"",$B43&lt;&gt;"Exterior",COUNTIF($B$6:B43,$B43)=1,COUNTIF($R$6:$R$12,$B43)=0),$B43,""),"")</f>
      </c>
      <c r="Q43">
        <f>IFERROR(IF(AND($C43&lt;&gt;"",$C43&lt;&gt;"Exterior",COUNTIF($C$6:C43,$C43)=1,COUNTIF($R$6:$R$12,$C43)=0,COUNTIF($B$6:$B$505,$C43)=0),$C43,""),"")</f>
      </c>
      <c r="X43">
        <f>IFERROR(ROUND(MAX(0,SUMIFS($D$6:$D43,$C$6:$C43,$B43,$A$6:$A43,"&lt;="&amp;$A43)*MAX(0,IFERROR(1+VLOOKUP($B43,$F$6:$I$19,4,FALSE),IFERROR(1+INDEX($U$6:$U$505,MATCH($B43,$S$6:$S$505,0)),1)))-(SUMIFS($D$6:$D43,$B$6:$B43,$B43,$A$6:$A43,"&lt;="&amp;$A43)-$D43)),2),0)</f>
      </c>
    </row>
    <row r="44" spans="1:24" x14ac:dyDescent="0.25">
      <c r="A44" s="9">
        <v>46317</v>
      </c>
      <c r="B44" s="10"/>
      <c r="C44" s="10"/>
      <c r="D44" s="11"/>
      <c r="P44">
        <f>IFERROR(IF(AND($B44&lt;&gt;"",$B44&lt;&gt;"Exterior",COUNTIF($B$6:B44,$B44)=1,COUNTIF($R$6:$R$12,$B44)=0),$B44,""),"")</f>
      </c>
      <c r="Q44">
        <f>IFERROR(IF(AND($C44&lt;&gt;"",$C44&lt;&gt;"Exterior",COUNTIF($C$6:C44,$C44)=1,COUNTIF($R$6:$R$12,$C44)=0,COUNTIF($B$6:$B$505,$C44)=0),$C44,""),"")</f>
      </c>
      <c r="X44">
        <f>IFERROR(ROUND(MAX(0,SUMIFS($D$6:$D44,$C$6:$C44,$B44,$A$6:$A44,"&lt;="&amp;$A44)*MAX(0,IFERROR(1+VLOOKUP($B44,$F$6:$I$19,4,FALSE),IFERROR(1+INDEX($U$6:$U$505,MATCH($B44,$S$6:$S$505,0)),1)))-(SUMIFS($D$6:$D44,$B$6:$B44,$B44,$A$6:$A44,"&lt;="&amp;$A44)-$D44)),2),0)</f>
      </c>
    </row>
    <row r="45" spans="1:24" x14ac:dyDescent="0.25">
      <c r="A45" s="9">
        <v>46317</v>
      </c>
      <c r="B45" s="10"/>
      <c r="C45" s="10"/>
      <c r="D45" s="11"/>
      <c r="P45">
        <f>IFERROR(IF(AND($B45&lt;&gt;"",$B45&lt;&gt;"Exterior",COUNTIF($B$6:B45,$B45)=1,COUNTIF($R$6:$R$12,$B45)=0),$B45,""),"")</f>
      </c>
      <c r="Q45">
        <f>IFERROR(IF(AND($C45&lt;&gt;"",$C45&lt;&gt;"Exterior",COUNTIF($C$6:C45,$C45)=1,COUNTIF($R$6:$R$12,$C45)=0,COUNTIF($B$6:$B$505,$C45)=0),$C45,""),"")</f>
      </c>
      <c r="X45">
        <f>IFERROR(ROUND(MAX(0,SUMIFS($D$6:$D45,$C$6:$C45,$B45,$A$6:$A45,"&lt;="&amp;$A45)*MAX(0,IFERROR(1+VLOOKUP($B45,$F$6:$I$19,4,FALSE),IFERROR(1+INDEX($U$6:$U$505,MATCH($B45,$S$6:$S$505,0)),1)))-(SUMIFS($D$6:$D45,$B$6:$B45,$B45,$A$6:$A45,"&lt;="&amp;$A45)-$D45)),2),0)</f>
      </c>
    </row>
    <row r="46" spans="1:24" x14ac:dyDescent="0.25">
      <c r="A46" s="9">
        <v>46317</v>
      </c>
      <c r="B46" s="10"/>
      <c r="C46" s="10"/>
      <c r="D46" s="11"/>
      <c r="P46">
        <f>IFERROR(IF(AND($B46&lt;&gt;"",$B46&lt;&gt;"Exterior",COUNTIF($B$6:B46,$B46)=1,COUNTIF($R$6:$R$12,$B46)=0),$B46,""),"")</f>
      </c>
      <c r="Q46">
        <f>IFERROR(IF(AND($C46&lt;&gt;"",$C46&lt;&gt;"Exterior",COUNTIF($C$6:C46,$C46)=1,COUNTIF($R$6:$R$12,$C46)=0,COUNTIF($B$6:$B$505,$C46)=0),$C46,""),"")</f>
      </c>
      <c r="X46">
        <f>IFERROR(ROUND(MAX(0,SUMIFS($D$6:$D46,$C$6:$C46,$B46,$A$6:$A46,"&lt;="&amp;$A46)*MAX(0,IFERROR(1+VLOOKUP($B46,$F$6:$I$19,4,FALSE),IFERROR(1+INDEX($U$6:$U$505,MATCH($B46,$S$6:$S$505,0)),1)))-(SUMIFS($D$6:$D46,$B$6:$B46,$B46,$A$6:$A46,"&lt;="&amp;$A46)-$D46)),2),0)</f>
      </c>
    </row>
    <row r="47" spans="1:24" x14ac:dyDescent="0.25">
      <c r="A47" s="9">
        <v>46317</v>
      </c>
      <c r="B47" s="10"/>
      <c r="C47" s="10"/>
      <c r="D47" s="11"/>
      <c r="P47">
        <f>IFERROR(IF(AND($B47&lt;&gt;"",$B47&lt;&gt;"Exterior",COUNTIF($B$6:B47,$B47)=1,COUNTIF($R$6:$R$12,$B47)=0),$B47,""),"")</f>
      </c>
      <c r="Q47">
        <f>IFERROR(IF(AND($C47&lt;&gt;"",$C47&lt;&gt;"Exterior",COUNTIF($C$6:C47,$C47)=1,COUNTIF($R$6:$R$12,$C47)=0,COUNTIF($B$6:$B$505,$C47)=0),$C47,""),"")</f>
      </c>
      <c r="X47">
        <f>IFERROR(ROUND(MAX(0,SUMIFS($D$6:$D47,$C$6:$C47,$B47,$A$6:$A47,"&lt;="&amp;$A47)*MAX(0,IFERROR(1+VLOOKUP($B47,$F$6:$I$19,4,FALSE),IFERROR(1+INDEX($U$6:$U$505,MATCH($B47,$S$6:$S$505,0)),1)))-(SUMIFS($D$6:$D47,$B$6:$B47,$B47,$A$6:$A47,"&lt;="&amp;$A47)-$D47)),2),0)</f>
      </c>
    </row>
    <row r="48" spans="1:24" x14ac:dyDescent="0.25">
      <c r="A48" s="9">
        <v>46317</v>
      </c>
      <c r="B48" s="10"/>
      <c r="C48" s="10"/>
      <c r="D48" s="11"/>
      <c r="P48">
        <f>IFERROR(IF(AND($B48&lt;&gt;"",$B48&lt;&gt;"Exterior",COUNTIF($B$6:B48,$B48)=1,COUNTIF($R$6:$R$12,$B48)=0),$B48,""),"")</f>
      </c>
      <c r="Q48">
        <f>IFERROR(IF(AND($C48&lt;&gt;"",$C48&lt;&gt;"Exterior",COUNTIF($C$6:C48,$C48)=1,COUNTIF($R$6:$R$12,$C48)=0,COUNTIF($B$6:$B$505,$C48)=0),$C48,""),"")</f>
      </c>
      <c r="X48">
        <f>IFERROR(ROUND(MAX(0,SUMIFS($D$6:$D48,$C$6:$C48,$B48,$A$6:$A48,"&lt;="&amp;$A48)*MAX(0,IFERROR(1+VLOOKUP($B48,$F$6:$I$19,4,FALSE),IFERROR(1+INDEX($U$6:$U$505,MATCH($B48,$S$6:$S$505,0)),1)))-(SUMIFS($D$6:$D48,$B$6:$B48,$B48,$A$6:$A48,"&lt;="&amp;$A48)-$D48)),2),0)</f>
      </c>
    </row>
    <row r="49" spans="1:24" x14ac:dyDescent="0.25">
      <c r="A49" s="9">
        <v>46317</v>
      </c>
      <c r="B49" s="10"/>
      <c r="C49" s="10"/>
      <c r="D49" s="11"/>
      <c r="P49">
        <f>IFERROR(IF(AND($B49&lt;&gt;"",$B49&lt;&gt;"Exterior",COUNTIF($B$6:B49,$B49)=1,COUNTIF($R$6:$R$12,$B49)=0),$B49,""),"")</f>
      </c>
      <c r="Q49">
        <f>IFERROR(IF(AND($C49&lt;&gt;"",$C49&lt;&gt;"Exterior",COUNTIF($C$6:C49,$C49)=1,COUNTIF($R$6:$R$12,$C49)=0,COUNTIF($B$6:$B$505,$C49)=0),$C49,""),"")</f>
      </c>
      <c r="X49">
        <f>IFERROR(ROUND(MAX(0,SUMIFS($D$6:$D49,$C$6:$C49,$B49,$A$6:$A49,"&lt;="&amp;$A49)*MAX(0,IFERROR(1+VLOOKUP($B49,$F$6:$I$19,4,FALSE),IFERROR(1+INDEX($U$6:$U$505,MATCH($B49,$S$6:$S$505,0)),1)))-(SUMIFS($D$6:$D49,$B$6:$B49,$B49,$A$6:$A49,"&lt;="&amp;$A49)-$D49)),2),0)</f>
      </c>
    </row>
    <row r="50" spans="1:24" x14ac:dyDescent="0.25">
      <c r="A50" s="9">
        <v>46317</v>
      </c>
      <c r="B50" s="10"/>
      <c r="C50" s="10"/>
      <c r="D50" s="11"/>
      <c r="P50">
        <f>IFERROR(IF(AND($B50&lt;&gt;"",$B50&lt;&gt;"Exterior",COUNTIF($B$6:B50,$B50)=1,COUNTIF($R$6:$R$12,$B50)=0),$B50,""),"")</f>
      </c>
      <c r="Q50">
        <f>IFERROR(IF(AND($C50&lt;&gt;"",$C50&lt;&gt;"Exterior",COUNTIF($C$6:C50,$C50)=1,COUNTIF($R$6:$R$12,$C50)=0,COUNTIF($B$6:$B$505,$C50)=0),$C50,""),"")</f>
      </c>
      <c r="X50">
        <f>IFERROR(ROUND(MAX(0,SUMIFS($D$6:$D50,$C$6:$C50,$B50,$A$6:$A50,"&lt;="&amp;$A50)*MAX(0,IFERROR(1+VLOOKUP($B50,$F$6:$I$19,4,FALSE),IFERROR(1+INDEX($U$6:$U$505,MATCH($B50,$S$6:$S$505,0)),1)))-(SUMIFS($D$6:$D50,$B$6:$B50,$B50,$A$6:$A50,"&lt;="&amp;$A50)-$D50)),2),0)</f>
      </c>
    </row>
    <row r="51" spans="1:24" x14ac:dyDescent="0.25">
      <c r="A51" s="9">
        <v>46317</v>
      </c>
      <c r="B51" s="10"/>
      <c r="C51" s="10"/>
      <c r="D51" s="11"/>
      <c r="P51">
        <f>IFERROR(IF(AND($B51&lt;&gt;"",$B51&lt;&gt;"Exterior",COUNTIF($B$6:B51,$B51)=1,COUNTIF($R$6:$R$12,$B51)=0),$B51,""),"")</f>
      </c>
      <c r="Q51">
        <f>IFERROR(IF(AND($C51&lt;&gt;"",$C51&lt;&gt;"Exterior",COUNTIF($C$6:C51,$C51)=1,COUNTIF($R$6:$R$12,$C51)=0,COUNTIF($B$6:$B$505,$C51)=0),$C51,""),"")</f>
      </c>
      <c r="X51">
        <f>IFERROR(ROUND(MAX(0,SUMIFS($D$6:$D51,$C$6:$C51,$B51,$A$6:$A51,"&lt;="&amp;$A51)*MAX(0,IFERROR(1+VLOOKUP($B51,$F$6:$I$19,4,FALSE),IFERROR(1+INDEX($U$6:$U$505,MATCH($B51,$S$6:$S$505,0)),1)))-(SUMIFS($D$6:$D51,$B$6:$B51,$B51,$A$6:$A51,"&lt;="&amp;$A51)-$D51)),2),0)</f>
      </c>
    </row>
    <row r="52" spans="1:24" x14ac:dyDescent="0.25">
      <c r="A52" s="9">
        <v>46317</v>
      </c>
      <c r="B52" s="10"/>
      <c r="C52" s="10"/>
      <c r="D52" s="11"/>
      <c r="P52">
        <f>IFERROR(IF(AND($B52&lt;&gt;"",$B52&lt;&gt;"Exterior",COUNTIF($B$6:B52,$B52)=1,COUNTIF($R$6:$R$12,$B52)=0),$B52,""),"")</f>
      </c>
      <c r="Q52">
        <f>IFERROR(IF(AND($C52&lt;&gt;"",$C52&lt;&gt;"Exterior",COUNTIF($C$6:C52,$C52)=1,COUNTIF($R$6:$R$12,$C52)=0,COUNTIF($B$6:$B$505,$C52)=0),$C52,""),"")</f>
      </c>
      <c r="X52">
        <f>IFERROR(ROUND(MAX(0,SUMIFS($D$6:$D52,$C$6:$C52,$B52,$A$6:$A52,"&lt;="&amp;$A52)*MAX(0,IFERROR(1+VLOOKUP($B52,$F$6:$I$19,4,FALSE),IFERROR(1+INDEX($U$6:$U$505,MATCH($B52,$S$6:$S$505,0)),1)))-(SUMIFS($D$6:$D52,$B$6:$B52,$B52,$A$6:$A52,"&lt;="&amp;$A52)-$D52)),2),0)</f>
      </c>
    </row>
    <row r="53" spans="1:24" x14ac:dyDescent="0.25">
      <c r="A53" s="9">
        <v>46317</v>
      </c>
      <c r="B53" s="10"/>
      <c r="C53" s="10"/>
      <c r="D53" s="11"/>
      <c r="P53">
        <f>IFERROR(IF(AND($B53&lt;&gt;"",$B53&lt;&gt;"Exterior",COUNTIF($B$6:B53,$B53)=1,COUNTIF($R$6:$R$12,$B53)=0),$B53,""),"")</f>
      </c>
      <c r="Q53">
        <f>IFERROR(IF(AND($C53&lt;&gt;"",$C53&lt;&gt;"Exterior",COUNTIF($C$6:C53,$C53)=1,COUNTIF($R$6:$R$12,$C53)=0,COUNTIF($B$6:$B$505,$C53)=0),$C53,""),"")</f>
      </c>
      <c r="X53">
        <f>IFERROR(ROUND(MAX(0,SUMIFS($D$6:$D53,$C$6:$C53,$B53,$A$6:$A53,"&lt;="&amp;$A53)*MAX(0,IFERROR(1+VLOOKUP($B53,$F$6:$I$19,4,FALSE),IFERROR(1+INDEX($U$6:$U$505,MATCH($B53,$S$6:$S$505,0)),1)))-(SUMIFS($D$6:$D53,$B$6:$B53,$B53,$A$6:$A53,"&lt;="&amp;$A53)-$D53)),2),0)</f>
      </c>
    </row>
    <row r="54" spans="1:24" x14ac:dyDescent="0.25">
      <c r="A54" s="9">
        <v>46317</v>
      </c>
      <c r="B54" s="10"/>
      <c r="C54" s="10"/>
      <c r="D54" s="11"/>
      <c r="P54">
        <f>IFERROR(IF(AND($B54&lt;&gt;"",$B54&lt;&gt;"Exterior",COUNTIF($B$6:B54,$B54)=1,COUNTIF($R$6:$R$12,$B54)=0),$B54,""),"")</f>
      </c>
      <c r="Q54">
        <f>IFERROR(IF(AND($C54&lt;&gt;"",$C54&lt;&gt;"Exterior",COUNTIF($C$6:C54,$C54)=1,COUNTIF($R$6:$R$12,$C54)=0,COUNTIF($B$6:$B$505,$C54)=0),$C54,""),"")</f>
      </c>
      <c r="X54">
        <f>IFERROR(ROUND(MAX(0,SUMIFS($D$6:$D54,$C$6:$C54,$B54,$A$6:$A54,"&lt;="&amp;$A54)*MAX(0,IFERROR(1+VLOOKUP($B54,$F$6:$I$19,4,FALSE),IFERROR(1+INDEX($U$6:$U$505,MATCH($B54,$S$6:$S$505,0)),1)))-(SUMIFS($D$6:$D54,$B$6:$B54,$B54,$A$6:$A54,"&lt;="&amp;$A54)-$D54)),2),0)</f>
      </c>
    </row>
    <row r="55" spans="1:24" x14ac:dyDescent="0.25">
      <c r="A55" s="9">
        <v>46317</v>
      </c>
      <c r="B55" s="10"/>
      <c r="C55" s="10"/>
      <c r="D55" s="11"/>
      <c r="P55">
        <f>IFERROR(IF(AND($B55&lt;&gt;"",$B55&lt;&gt;"Exterior",COUNTIF($B$6:B55,$B55)=1,COUNTIF($R$6:$R$12,$B55)=0),$B55,""),"")</f>
      </c>
      <c r="Q55">
        <f>IFERROR(IF(AND($C55&lt;&gt;"",$C55&lt;&gt;"Exterior",COUNTIF($C$6:C55,$C55)=1,COUNTIF($R$6:$R$12,$C55)=0,COUNTIF($B$6:$B$505,$C55)=0),$C55,""),"")</f>
      </c>
      <c r="X55">
        <f>IFERROR(ROUND(MAX(0,SUMIFS($D$6:$D55,$C$6:$C55,$B55,$A$6:$A55,"&lt;="&amp;$A55)*MAX(0,IFERROR(1+VLOOKUP($B55,$F$6:$I$19,4,FALSE),IFERROR(1+INDEX($U$6:$U$505,MATCH($B55,$S$6:$S$505,0)),1)))-(SUMIFS($D$6:$D55,$B$6:$B55,$B55,$A$6:$A55,"&lt;="&amp;$A55)-$D55)),2),0)</f>
      </c>
    </row>
    <row r="56" spans="1:24" x14ac:dyDescent="0.25">
      <c r="A56" s="9">
        <v>46317</v>
      </c>
      <c r="B56" s="10"/>
      <c r="C56" s="10"/>
      <c r="D56" s="11"/>
      <c r="P56">
        <f>IFERROR(IF(AND($B56&lt;&gt;"",$B56&lt;&gt;"Exterior",COUNTIF($B$6:B56,$B56)=1,COUNTIF($R$6:$R$12,$B56)=0),$B56,""),"")</f>
      </c>
      <c r="Q56">
        <f>IFERROR(IF(AND($C56&lt;&gt;"",$C56&lt;&gt;"Exterior",COUNTIF($C$6:C56,$C56)=1,COUNTIF($R$6:$R$12,$C56)=0,COUNTIF($B$6:$B$505,$C56)=0),$C56,""),"")</f>
      </c>
      <c r="X56">
        <f>IFERROR(ROUND(MAX(0,SUMIFS($D$6:$D56,$C$6:$C56,$B56,$A$6:$A56,"&lt;="&amp;$A56)*MAX(0,IFERROR(1+VLOOKUP($B56,$F$6:$I$19,4,FALSE),IFERROR(1+INDEX($U$6:$U$505,MATCH($B56,$S$6:$S$505,0)),1)))-(SUMIFS($D$6:$D56,$B$6:$B56,$B56,$A$6:$A56,"&lt;="&amp;$A56)-$D56)),2),0)</f>
      </c>
    </row>
    <row r="57" spans="1:24" x14ac:dyDescent="0.25">
      <c r="A57" s="9">
        <v>46317</v>
      </c>
      <c r="B57" s="10"/>
      <c r="C57" s="10"/>
      <c r="D57" s="11"/>
      <c r="P57">
        <f>IFERROR(IF(AND($B57&lt;&gt;"",$B57&lt;&gt;"Exterior",COUNTIF($B$6:B57,$B57)=1,COUNTIF($R$6:$R$12,$B57)=0),$B57,""),"")</f>
      </c>
      <c r="Q57">
        <f>IFERROR(IF(AND($C57&lt;&gt;"",$C57&lt;&gt;"Exterior",COUNTIF($C$6:C57,$C57)=1,COUNTIF($R$6:$R$12,$C57)=0,COUNTIF($B$6:$B$505,$C57)=0),$C57,""),"")</f>
      </c>
      <c r="X57">
        <f>IFERROR(ROUND(MAX(0,SUMIFS($D$6:$D57,$C$6:$C57,$B57,$A$6:$A57,"&lt;="&amp;$A57)*MAX(0,IFERROR(1+VLOOKUP($B57,$F$6:$I$19,4,FALSE),IFERROR(1+INDEX($U$6:$U$505,MATCH($B57,$S$6:$S$505,0)),1)))-(SUMIFS($D$6:$D57,$B$6:$B57,$B57,$A$6:$A57,"&lt;="&amp;$A57)-$D57)),2),0)</f>
      </c>
    </row>
    <row r="58" spans="1:24" x14ac:dyDescent="0.25">
      <c r="A58" s="9">
        <v>46317</v>
      </c>
      <c r="B58" s="10"/>
      <c r="C58" s="10"/>
      <c r="D58" s="11"/>
      <c r="P58">
        <f>IFERROR(IF(AND($B58&lt;&gt;"",$B58&lt;&gt;"Exterior",COUNTIF($B$6:B58,$B58)=1,COUNTIF($R$6:$R$12,$B58)=0),$B58,""),"")</f>
      </c>
      <c r="Q58">
        <f>IFERROR(IF(AND($C58&lt;&gt;"",$C58&lt;&gt;"Exterior",COUNTIF($C$6:C58,$C58)=1,COUNTIF($R$6:$R$12,$C58)=0,COUNTIF($B$6:$B$505,$C58)=0),$C58,""),"")</f>
      </c>
      <c r="X58">
        <f>IFERROR(ROUND(MAX(0,SUMIFS($D$6:$D58,$C$6:$C58,$B58,$A$6:$A58,"&lt;="&amp;$A58)*MAX(0,IFERROR(1+VLOOKUP($B58,$F$6:$I$19,4,FALSE),IFERROR(1+INDEX($U$6:$U$505,MATCH($B58,$S$6:$S$505,0)),1)))-(SUMIFS($D$6:$D58,$B$6:$B58,$B58,$A$6:$A58,"&lt;="&amp;$A58)-$D58)),2),0)</f>
      </c>
    </row>
    <row r="59" spans="1:24" x14ac:dyDescent="0.25">
      <c r="A59" s="9">
        <v>46317</v>
      </c>
      <c r="B59" s="10"/>
      <c r="C59" s="10"/>
      <c r="D59" s="11"/>
      <c r="P59">
        <f>IFERROR(IF(AND($B59&lt;&gt;"",$B59&lt;&gt;"Exterior",COUNTIF($B$6:B59,$B59)=1,COUNTIF($R$6:$R$12,$B59)=0),$B59,""),"")</f>
      </c>
      <c r="Q59">
        <f>IFERROR(IF(AND($C59&lt;&gt;"",$C59&lt;&gt;"Exterior",COUNTIF($C$6:C59,$C59)=1,COUNTIF($R$6:$R$12,$C59)=0,COUNTIF($B$6:$B$505,$C59)=0),$C59,""),"")</f>
      </c>
      <c r="X59">
        <f>IFERROR(ROUND(MAX(0,SUMIFS($D$6:$D59,$C$6:$C59,$B59,$A$6:$A59,"&lt;="&amp;$A59)*MAX(0,IFERROR(1+VLOOKUP($B59,$F$6:$I$19,4,FALSE),IFERROR(1+INDEX($U$6:$U$505,MATCH($B59,$S$6:$S$505,0)),1)))-(SUMIFS($D$6:$D59,$B$6:$B59,$B59,$A$6:$A59,"&lt;="&amp;$A59)-$D59)),2),0)</f>
      </c>
    </row>
    <row r="60" spans="1:24" x14ac:dyDescent="0.25">
      <c r="A60" s="9">
        <v>46317</v>
      </c>
      <c r="B60" s="10"/>
      <c r="C60" s="10"/>
      <c r="D60" s="11"/>
      <c r="P60">
        <f>IFERROR(IF(AND($B60&lt;&gt;"",$B60&lt;&gt;"Exterior",COUNTIF($B$6:B60,$B60)=1,COUNTIF($R$6:$R$12,$B60)=0),$B60,""),"")</f>
      </c>
      <c r="Q60">
        <f>IFERROR(IF(AND($C60&lt;&gt;"",$C60&lt;&gt;"Exterior",COUNTIF($C$6:C60,$C60)=1,COUNTIF($R$6:$R$12,$C60)=0,COUNTIF($B$6:$B$505,$C60)=0),$C60,""),"")</f>
      </c>
      <c r="X60">
        <f>IFERROR(ROUND(MAX(0,SUMIFS($D$6:$D60,$C$6:$C60,$B60,$A$6:$A60,"&lt;="&amp;$A60)*MAX(0,IFERROR(1+VLOOKUP($B60,$F$6:$I$19,4,FALSE),IFERROR(1+INDEX($U$6:$U$505,MATCH($B60,$S$6:$S$505,0)),1)))-(SUMIFS($D$6:$D60,$B$6:$B60,$B60,$A$6:$A60,"&lt;="&amp;$A60)-$D60)),2),0)</f>
      </c>
    </row>
    <row r="61" spans="1:24" x14ac:dyDescent="0.25">
      <c r="A61" s="9">
        <v>46317</v>
      </c>
      <c r="B61" s="10"/>
      <c r="C61" s="10"/>
      <c r="D61" s="11"/>
      <c r="P61">
        <f>IFERROR(IF(AND($B61&lt;&gt;"",$B61&lt;&gt;"Exterior",COUNTIF($B$6:B61,$B61)=1,COUNTIF($R$6:$R$12,$B61)=0),$B61,""),"")</f>
      </c>
      <c r="Q61">
        <f>IFERROR(IF(AND($C61&lt;&gt;"",$C61&lt;&gt;"Exterior",COUNTIF($C$6:C61,$C61)=1,COUNTIF($R$6:$R$12,$C61)=0,COUNTIF($B$6:$B$505,$C61)=0),$C61,""),"")</f>
      </c>
      <c r="X61">
        <f>IFERROR(ROUND(MAX(0,SUMIFS($D$6:$D61,$C$6:$C61,$B61,$A$6:$A61,"&lt;="&amp;$A61)*MAX(0,IFERROR(1+VLOOKUP($B61,$F$6:$I$19,4,FALSE),IFERROR(1+INDEX($U$6:$U$505,MATCH($B61,$S$6:$S$505,0)),1)))-(SUMIFS($D$6:$D61,$B$6:$B61,$B61,$A$6:$A61,"&lt;="&amp;$A61)-$D61)),2),0)</f>
      </c>
    </row>
    <row r="62" spans="1:24" x14ac:dyDescent="0.25">
      <c r="A62" s="9">
        <v>46317</v>
      </c>
      <c r="B62" s="10"/>
      <c r="C62" s="10"/>
      <c r="D62" s="11"/>
      <c r="P62">
        <f>IFERROR(IF(AND($B62&lt;&gt;"",$B62&lt;&gt;"Exterior",COUNTIF($B$6:B62,$B62)=1,COUNTIF($R$6:$R$12,$B62)=0),$B62,""),"")</f>
      </c>
      <c r="Q62">
        <f>IFERROR(IF(AND($C62&lt;&gt;"",$C62&lt;&gt;"Exterior",COUNTIF($C$6:C62,$C62)=1,COUNTIF($R$6:$R$12,$C62)=0,COUNTIF($B$6:$B$505,$C62)=0),$C62,""),"")</f>
      </c>
      <c r="X62">
        <f>IFERROR(ROUND(MAX(0,SUMIFS($D$6:$D62,$C$6:$C62,$B62,$A$6:$A62,"&lt;="&amp;$A62)*MAX(0,IFERROR(1+VLOOKUP($B62,$F$6:$I$19,4,FALSE),IFERROR(1+INDEX($U$6:$U$505,MATCH($B62,$S$6:$S$505,0)),1)))-(SUMIFS($D$6:$D62,$B$6:$B62,$B62,$A$6:$A62,"&lt;="&amp;$A62)-$D62)),2),0)</f>
      </c>
    </row>
    <row r="63" spans="1:24" x14ac:dyDescent="0.25">
      <c r="A63" s="9">
        <v>46317</v>
      </c>
      <c r="B63" s="10"/>
      <c r="C63" s="10"/>
      <c r="D63" s="11"/>
      <c r="P63">
        <f>IFERROR(IF(AND($B63&lt;&gt;"",$B63&lt;&gt;"Exterior",COUNTIF($B$6:B63,$B63)=1,COUNTIF($R$6:$R$12,$B63)=0),$B63,""),"")</f>
      </c>
      <c r="Q63">
        <f>IFERROR(IF(AND($C63&lt;&gt;"",$C63&lt;&gt;"Exterior",COUNTIF($C$6:C63,$C63)=1,COUNTIF($R$6:$R$12,$C63)=0,COUNTIF($B$6:$B$505,$C63)=0),$C63,""),"")</f>
      </c>
      <c r="X63">
        <f>IFERROR(ROUND(MAX(0,SUMIFS($D$6:$D63,$C$6:$C63,$B63,$A$6:$A63,"&lt;="&amp;$A63)*MAX(0,IFERROR(1+VLOOKUP($B63,$F$6:$I$19,4,FALSE),IFERROR(1+INDEX($U$6:$U$505,MATCH($B63,$S$6:$S$505,0)),1)))-(SUMIFS($D$6:$D63,$B$6:$B63,$B63,$A$6:$A63,"&lt;="&amp;$A63)-$D63)),2),0)</f>
      </c>
    </row>
    <row r="64" spans="1:24" x14ac:dyDescent="0.25">
      <c r="A64" s="9">
        <v>46317</v>
      </c>
      <c r="B64" s="10"/>
      <c r="C64" s="10"/>
      <c r="D64" s="11"/>
      <c r="P64">
        <f>IFERROR(IF(AND($B64&lt;&gt;"",$B64&lt;&gt;"Exterior",COUNTIF($B$6:B64,$B64)=1,COUNTIF($R$6:$R$12,$B64)=0),$B64,""),"")</f>
      </c>
      <c r="Q64">
        <f>IFERROR(IF(AND($C64&lt;&gt;"",$C64&lt;&gt;"Exterior",COUNTIF($C$6:C64,$C64)=1,COUNTIF($R$6:$R$12,$C64)=0,COUNTIF($B$6:$B$505,$C64)=0),$C64,""),"")</f>
      </c>
      <c r="X64">
        <f>IFERROR(ROUND(MAX(0,SUMIFS($D$6:$D64,$C$6:$C64,$B64,$A$6:$A64,"&lt;="&amp;$A64)*MAX(0,IFERROR(1+VLOOKUP($B64,$F$6:$I$19,4,FALSE),IFERROR(1+INDEX($U$6:$U$505,MATCH($B64,$S$6:$S$505,0)),1)))-(SUMIFS($D$6:$D64,$B$6:$B64,$B64,$A$6:$A64,"&lt;="&amp;$A64)-$D64)),2),0)</f>
      </c>
    </row>
    <row r="65" spans="1:24" x14ac:dyDescent="0.25">
      <c r="A65" s="9">
        <v>46317</v>
      </c>
      <c r="B65" s="10"/>
      <c r="C65" s="10"/>
      <c r="D65" s="11"/>
      <c r="P65">
        <f>IFERROR(IF(AND($B65&lt;&gt;"",$B65&lt;&gt;"Exterior",COUNTIF($B$6:B65,$B65)=1,COUNTIF($R$6:$R$12,$B65)=0),$B65,""),"")</f>
      </c>
      <c r="Q65">
        <f>IFERROR(IF(AND($C65&lt;&gt;"",$C65&lt;&gt;"Exterior",COUNTIF($C$6:C65,$C65)=1,COUNTIF($R$6:$R$12,$C65)=0,COUNTIF($B$6:$B$505,$C65)=0),$C65,""),"")</f>
      </c>
      <c r="X65">
        <f>IFERROR(ROUND(MAX(0,SUMIFS($D$6:$D65,$C$6:$C65,$B65,$A$6:$A65,"&lt;="&amp;$A65)*MAX(0,IFERROR(1+VLOOKUP($B65,$F$6:$I$19,4,FALSE),IFERROR(1+INDEX($U$6:$U$505,MATCH($B65,$S$6:$S$505,0)),1)))-(SUMIFS($D$6:$D65,$B$6:$B65,$B65,$A$6:$A65,"&lt;="&amp;$A65)-$D65)),2),0)</f>
      </c>
    </row>
    <row r="66" spans="1:24" x14ac:dyDescent="0.25">
      <c r="A66" s="9">
        <v>46317</v>
      </c>
      <c r="B66" s="10"/>
      <c r="C66" s="10"/>
      <c r="D66" s="11"/>
      <c r="P66">
        <f>IFERROR(IF(AND($B66&lt;&gt;"",$B66&lt;&gt;"Exterior",COUNTIF($B$6:B66,$B66)=1,COUNTIF($R$6:$R$12,$B66)=0),$B66,""),"")</f>
      </c>
      <c r="Q66">
        <f>IFERROR(IF(AND($C66&lt;&gt;"",$C66&lt;&gt;"Exterior",COUNTIF($C$6:C66,$C66)=1,COUNTIF($R$6:$R$12,$C66)=0,COUNTIF($B$6:$B$505,$C66)=0),$C66,""),"")</f>
      </c>
      <c r="X66">
        <f>IFERROR(ROUND(MAX(0,SUMIFS($D$6:$D66,$C$6:$C66,$B66,$A$6:$A66,"&lt;="&amp;$A66)*MAX(0,IFERROR(1+VLOOKUP($B66,$F$6:$I$19,4,FALSE),IFERROR(1+INDEX($U$6:$U$505,MATCH($B66,$S$6:$S$505,0)),1)))-(SUMIFS($D$6:$D66,$B$6:$B66,$B66,$A$6:$A66,"&lt;="&amp;$A66)-$D66)),2),0)</f>
      </c>
    </row>
    <row r="67" spans="1:24" x14ac:dyDescent="0.25">
      <c r="A67" s="9">
        <v>46317</v>
      </c>
      <c r="B67" s="10"/>
      <c r="C67" s="10"/>
      <c r="D67" s="11"/>
      <c r="P67">
        <f>IFERROR(IF(AND($B67&lt;&gt;"",$B67&lt;&gt;"Exterior",COUNTIF($B$6:B67,$B67)=1,COUNTIF($R$6:$R$12,$B67)=0),$B67,""),"")</f>
      </c>
      <c r="Q67">
        <f>IFERROR(IF(AND($C67&lt;&gt;"",$C67&lt;&gt;"Exterior",COUNTIF($C$6:C67,$C67)=1,COUNTIF($R$6:$R$12,$C67)=0,COUNTIF($B$6:$B$505,$C67)=0),$C67,""),"")</f>
      </c>
      <c r="X67">
        <f>IFERROR(ROUND(MAX(0,SUMIFS($D$6:$D67,$C$6:$C67,$B67,$A$6:$A67,"&lt;="&amp;$A67)*MAX(0,IFERROR(1+VLOOKUP($B67,$F$6:$I$19,4,FALSE),IFERROR(1+INDEX($U$6:$U$505,MATCH($B67,$S$6:$S$505,0)),1)))-(SUMIFS($D$6:$D67,$B$6:$B67,$B67,$A$6:$A67,"&lt;="&amp;$A67)-$D67)),2),0)</f>
      </c>
    </row>
    <row r="68" spans="1:24" x14ac:dyDescent="0.25">
      <c r="A68" s="9">
        <v>46317</v>
      </c>
      <c r="B68" s="10"/>
      <c r="C68" s="10"/>
      <c r="D68" s="11"/>
      <c r="P68">
        <f>IFERROR(IF(AND($B68&lt;&gt;"",$B68&lt;&gt;"Exterior",COUNTIF($B$6:B68,$B68)=1,COUNTIF($R$6:$R$12,$B68)=0),$B68,""),"")</f>
      </c>
      <c r="Q68">
        <f>IFERROR(IF(AND($C68&lt;&gt;"",$C68&lt;&gt;"Exterior",COUNTIF($C$6:C68,$C68)=1,COUNTIF($R$6:$R$12,$C68)=0,COUNTIF($B$6:$B$505,$C68)=0),$C68,""),"")</f>
      </c>
      <c r="X68">
        <f>IFERROR(ROUND(MAX(0,SUMIFS($D$6:$D68,$C$6:$C68,$B68,$A$6:$A68,"&lt;="&amp;$A68)*MAX(0,IFERROR(1+VLOOKUP($B68,$F$6:$I$19,4,FALSE),IFERROR(1+INDEX($U$6:$U$505,MATCH($B68,$S$6:$S$505,0)),1)))-(SUMIFS($D$6:$D68,$B$6:$B68,$B68,$A$6:$A68,"&lt;="&amp;$A68)-$D68)),2),0)</f>
      </c>
    </row>
    <row r="69" spans="1:24" x14ac:dyDescent="0.25">
      <c r="A69" s="9">
        <v>46317</v>
      </c>
      <c r="B69" s="10"/>
      <c r="C69" s="10"/>
      <c r="D69" s="11"/>
      <c r="P69">
        <f>IFERROR(IF(AND($B69&lt;&gt;"",$B69&lt;&gt;"Exterior",COUNTIF($B$6:B69,$B69)=1,COUNTIF($R$6:$R$12,$B69)=0),$B69,""),"")</f>
      </c>
      <c r="Q69">
        <f>IFERROR(IF(AND($C69&lt;&gt;"",$C69&lt;&gt;"Exterior",COUNTIF($C$6:C69,$C69)=1,COUNTIF($R$6:$R$12,$C69)=0,COUNTIF($B$6:$B$505,$C69)=0),$C69,""),"")</f>
      </c>
      <c r="X69">
        <f>IFERROR(ROUND(MAX(0,SUMIFS($D$6:$D69,$C$6:$C69,$B69,$A$6:$A69,"&lt;="&amp;$A69)*MAX(0,IFERROR(1+VLOOKUP($B69,$F$6:$I$19,4,FALSE),IFERROR(1+INDEX($U$6:$U$505,MATCH($B69,$S$6:$S$505,0)),1)))-(SUMIFS($D$6:$D69,$B$6:$B69,$B69,$A$6:$A69,"&lt;="&amp;$A69)-$D69)),2),0)</f>
      </c>
    </row>
    <row r="70" spans="1:24" x14ac:dyDescent="0.25">
      <c r="A70" s="9">
        <v>46317</v>
      </c>
      <c r="B70" s="10"/>
      <c r="C70" s="10"/>
      <c r="D70" s="11"/>
      <c r="P70">
        <f>IFERROR(IF(AND($B70&lt;&gt;"",$B70&lt;&gt;"Exterior",COUNTIF($B$6:B70,$B70)=1,COUNTIF($R$6:$R$12,$B70)=0),$B70,""),"")</f>
      </c>
      <c r="Q70">
        <f>IFERROR(IF(AND($C70&lt;&gt;"",$C70&lt;&gt;"Exterior",COUNTIF($C$6:C70,$C70)=1,COUNTIF($R$6:$R$12,$C70)=0,COUNTIF($B$6:$B$505,$C70)=0),$C70,""),"")</f>
      </c>
      <c r="X70">
        <f>IFERROR(ROUND(MAX(0,SUMIFS($D$6:$D70,$C$6:$C70,$B70,$A$6:$A70,"&lt;="&amp;$A70)*MAX(0,IFERROR(1+VLOOKUP($B70,$F$6:$I$19,4,FALSE),IFERROR(1+INDEX($U$6:$U$505,MATCH($B70,$S$6:$S$505,0)),1)))-(SUMIFS($D$6:$D70,$B$6:$B70,$B70,$A$6:$A70,"&lt;="&amp;$A70)-$D70)),2),0)</f>
      </c>
    </row>
    <row r="71" spans="1:24" x14ac:dyDescent="0.25">
      <c r="A71" s="9">
        <v>46317</v>
      </c>
      <c r="B71" s="10"/>
      <c r="C71" s="10"/>
      <c r="D71" s="11"/>
      <c r="P71">
        <f>IFERROR(IF(AND($B71&lt;&gt;"",$B71&lt;&gt;"Exterior",COUNTIF($B$6:B71,$B71)=1,COUNTIF($R$6:$R$12,$B71)=0),$B71,""),"")</f>
      </c>
      <c r="Q71">
        <f>IFERROR(IF(AND($C71&lt;&gt;"",$C71&lt;&gt;"Exterior",COUNTIF($C$6:C71,$C71)=1,COUNTIF($R$6:$R$12,$C71)=0,COUNTIF($B$6:$B$505,$C71)=0),$C71,""),"")</f>
      </c>
      <c r="X71">
        <f>IFERROR(ROUND(MAX(0,SUMIFS($D$6:$D71,$C$6:$C71,$B71,$A$6:$A71,"&lt;="&amp;$A71)*MAX(0,IFERROR(1+VLOOKUP($B71,$F$6:$I$19,4,FALSE),IFERROR(1+INDEX($U$6:$U$505,MATCH($B71,$S$6:$S$505,0)),1)))-(SUMIFS($D$6:$D71,$B$6:$B71,$B71,$A$6:$A71,"&lt;="&amp;$A71)-$D71)),2),0)</f>
      </c>
    </row>
    <row r="72" spans="1:24" x14ac:dyDescent="0.25">
      <c r="A72" s="9">
        <v>46317</v>
      </c>
      <c r="B72" s="10"/>
      <c r="C72" s="10"/>
      <c r="D72" s="11"/>
      <c r="P72">
        <f>IFERROR(IF(AND($B72&lt;&gt;"",$B72&lt;&gt;"Exterior",COUNTIF($B$6:B72,$B72)=1,COUNTIF($R$6:$R$12,$B72)=0),$B72,""),"")</f>
      </c>
      <c r="Q72">
        <f>IFERROR(IF(AND($C72&lt;&gt;"",$C72&lt;&gt;"Exterior",COUNTIF($C$6:C72,$C72)=1,COUNTIF($R$6:$R$12,$C72)=0,COUNTIF($B$6:$B$505,$C72)=0),$C72,""),"")</f>
      </c>
      <c r="X72">
        <f>IFERROR(ROUND(MAX(0,SUMIFS($D$6:$D72,$C$6:$C72,$B72,$A$6:$A72,"&lt;="&amp;$A72)*MAX(0,IFERROR(1+VLOOKUP($B72,$F$6:$I$19,4,FALSE),IFERROR(1+INDEX($U$6:$U$505,MATCH($B72,$S$6:$S$505,0)),1)))-(SUMIFS($D$6:$D72,$B$6:$B72,$B72,$A$6:$A72,"&lt;="&amp;$A72)-$D72)),2),0)</f>
      </c>
    </row>
    <row r="73" spans="1:24" x14ac:dyDescent="0.25">
      <c r="A73" s="9">
        <v>46317</v>
      </c>
      <c r="B73" s="10"/>
      <c r="C73" s="10"/>
      <c r="D73" s="11"/>
      <c r="P73">
        <f>IFERROR(IF(AND($B73&lt;&gt;"",$B73&lt;&gt;"Exterior",COUNTIF($B$6:B73,$B73)=1,COUNTIF($R$6:$R$12,$B73)=0),$B73,""),"")</f>
      </c>
      <c r="Q73">
        <f>IFERROR(IF(AND($C73&lt;&gt;"",$C73&lt;&gt;"Exterior",COUNTIF($C$6:C73,$C73)=1,COUNTIF($R$6:$R$12,$C73)=0,COUNTIF($B$6:$B$505,$C73)=0),$C73,""),"")</f>
      </c>
      <c r="X73">
        <f>IFERROR(ROUND(MAX(0,SUMIFS($D$6:$D73,$C$6:$C73,$B73,$A$6:$A73,"&lt;="&amp;$A73)*MAX(0,IFERROR(1+VLOOKUP($B73,$F$6:$I$19,4,FALSE),IFERROR(1+INDEX($U$6:$U$505,MATCH($B73,$S$6:$S$505,0)),1)))-(SUMIFS($D$6:$D73,$B$6:$B73,$B73,$A$6:$A73,"&lt;="&amp;$A73)-$D73)),2),0)</f>
      </c>
    </row>
    <row r="74" spans="1:24" x14ac:dyDescent="0.25">
      <c r="A74" s="9">
        <v>46317</v>
      </c>
      <c r="B74" s="10"/>
      <c r="C74" s="10"/>
      <c r="D74" s="11"/>
      <c r="P74">
        <f>IFERROR(IF(AND($B74&lt;&gt;"",$B74&lt;&gt;"Exterior",COUNTIF($B$6:B74,$B74)=1,COUNTIF($R$6:$R$12,$B74)=0),$B74,""),"")</f>
      </c>
      <c r="Q74">
        <f>IFERROR(IF(AND($C74&lt;&gt;"",$C74&lt;&gt;"Exterior",COUNTIF($C$6:C74,$C74)=1,COUNTIF($R$6:$R$12,$C74)=0,COUNTIF($B$6:$B$505,$C74)=0),$C74,""),"")</f>
      </c>
      <c r="X74">
        <f>IFERROR(ROUND(MAX(0,SUMIFS($D$6:$D74,$C$6:$C74,$B74,$A$6:$A74,"&lt;="&amp;$A74)*MAX(0,IFERROR(1+VLOOKUP($B74,$F$6:$I$19,4,FALSE),IFERROR(1+INDEX($U$6:$U$505,MATCH($B74,$S$6:$S$505,0)),1)))-(SUMIFS($D$6:$D74,$B$6:$B74,$B74,$A$6:$A74,"&lt;="&amp;$A74)-$D74)),2),0)</f>
      </c>
    </row>
    <row r="75" spans="1:24" x14ac:dyDescent="0.25">
      <c r="A75" s="9">
        <v>46317</v>
      </c>
      <c r="B75" s="10"/>
      <c r="C75" s="10"/>
      <c r="D75" s="11"/>
      <c r="P75">
        <f>IFERROR(IF(AND($B75&lt;&gt;"",$B75&lt;&gt;"Exterior",COUNTIF($B$6:B75,$B75)=1,COUNTIF($R$6:$R$12,$B75)=0),$B75,""),"")</f>
      </c>
      <c r="Q75">
        <f>IFERROR(IF(AND($C75&lt;&gt;"",$C75&lt;&gt;"Exterior",COUNTIF($C$6:C75,$C75)=1,COUNTIF($R$6:$R$12,$C75)=0,COUNTIF($B$6:$B$505,$C75)=0),$C75,""),"")</f>
      </c>
      <c r="X75">
        <f>IFERROR(ROUND(MAX(0,SUMIFS($D$6:$D75,$C$6:$C75,$B75,$A$6:$A75,"&lt;="&amp;$A75)*MAX(0,IFERROR(1+VLOOKUP($B75,$F$6:$I$19,4,FALSE),IFERROR(1+INDEX($U$6:$U$505,MATCH($B75,$S$6:$S$505,0)),1)))-(SUMIFS($D$6:$D75,$B$6:$B75,$B75,$A$6:$A75,"&lt;="&amp;$A75)-$D75)),2),0)</f>
      </c>
    </row>
    <row r="76" spans="1:24" x14ac:dyDescent="0.25">
      <c r="A76" s="9">
        <v>46317</v>
      </c>
      <c r="B76" s="10"/>
      <c r="C76" s="10"/>
      <c r="D76" s="11"/>
      <c r="P76">
        <f>IFERROR(IF(AND($B76&lt;&gt;"",$B76&lt;&gt;"Exterior",COUNTIF($B$6:B76,$B76)=1,COUNTIF($R$6:$R$12,$B76)=0),$B76,""),"")</f>
      </c>
      <c r="Q76">
        <f>IFERROR(IF(AND($C76&lt;&gt;"",$C76&lt;&gt;"Exterior",COUNTIF($C$6:C76,$C76)=1,COUNTIF($R$6:$R$12,$C76)=0,COUNTIF($B$6:$B$505,$C76)=0),$C76,""),"")</f>
      </c>
      <c r="X76">
        <f>IFERROR(ROUND(MAX(0,SUMIFS($D$6:$D76,$C$6:$C76,$B76,$A$6:$A76,"&lt;="&amp;$A76)*MAX(0,IFERROR(1+VLOOKUP($B76,$F$6:$I$19,4,FALSE),IFERROR(1+INDEX($U$6:$U$505,MATCH($B76,$S$6:$S$505,0)),1)))-(SUMIFS($D$6:$D76,$B$6:$B76,$B76,$A$6:$A76,"&lt;="&amp;$A76)-$D76)),2),0)</f>
      </c>
    </row>
    <row r="77" spans="1:24" x14ac:dyDescent="0.25">
      <c r="A77" s="9">
        <v>46317</v>
      </c>
      <c r="B77" s="10"/>
      <c r="C77" s="10"/>
      <c r="D77" s="11"/>
      <c r="P77">
        <f>IFERROR(IF(AND($B77&lt;&gt;"",$B77&lt;&gt;"Exterior",COUNTIF($B$6:B77,$B77)=1,COUNTIF($R$6:$R$12,$B77)=0),$B77,""),"")</f>
      </c>
      <c r="Q77">
        <f>IFERROR(IF(AND($C77&lt;&gt;"",$C77&lt;&gt;"Exterior",COUNTIF($C$6:C77,$C77)=1,COUNTIF($R$6:$R$12,$C77)=0,COUNTIF($B$6:$B$505,$C77)=0),$C77,""),"")</f>
      </c>
      <c r="X77">
        <f>IFERROR(ROUND(MAX(0,SUMIFS($D$6:$D77,$C$6:$C77,$B77,$A$6:$A77,"&lt;="&amp;$A77)*MAX(0,IFERROR(1+VLOOKUP($B77,$F$6:$I$19,4,FALSE),IFERROR(1+INDEX($U$6:$U$505,MATCH($B77,$S$6:$S$505,0)),1)))-(SUMIFS($D$6:$D77,$B$6:$B77,$B77,$A$6:$A77,"&lt;="&amp;$A77)-$D77)),2),0)</f>
      </c>
    </row>
    <row r="78" spans="1:24" x14ac:dyDescent="0.25">
      <c r="A78" s="9">
        <v>46317</v>
      </c>
      <c r="B78" s="10"/>
      <c r="C78" s="10"/>
      <c r="D78" s="11"/>
      <c r="P78">
        <f>IFERROR(IF(AND($B78&lt;&gt;"",$B78&lt;&gt;"Exterior",COUNTIF($B$6:B78,$B78)=1,COUNTIF($R$6:$R$12,$B78)=0),$B78,""),"")</f>
      </c>
      <c r="Q78">
        <f>IFERROR(IF(AND($C78&lt;&gt;"",$C78&lt;&gt;"Exterior",COUNTIF($C$6:C78,$C78)=1,COUNTIF($R$6:$R$12,$C78)=0,COUNTIF($B$6:$B$505,$C78)=0),$C78,""),"")</f>
      </c>
      <c r="X78">
        <f>IFERROR(ROUND(MAX(0,SUMIFS($D$6:$D78,$C$6:$C78,$B78,$A$6:$A78,"&lt;="&amp;$A78)*MAX(0,IFERROR(1+VLOOKUP($B78,$F$6:$I$19,4,FALSE),IFERROR(1+INDEX($U$6:$U$505,MATCH($B78,$S$6:$S$505,0)),1)))-(SUMIFS($D$6:$D78,$B$6:$B78,$B78,$A$6:$A78,"&lt;="&amp;$A78)-$D78)),2),0)</f>
      </c>
    </row>
    <row r="79" spans="1:24" x14ac:dyDescent="0.25">
      <c r="A79" s="9">
        <v>46317</v>
      </c>
      <c r="B79" s="10"/>
      <c r="C79" s="10"/>
      <c r="D79" s="11"/>
      <c r="P79">
        <f>IFERROR(IF(AND($B79&lt;&gt;"",$B79&lt;&gt;"Exterior",COUNTIF($B$6:B79,$B79)=1,COUNTIF($R$6:$R$12,$B79)=0),$B79,""),"")</f>
      </c>
      <c r="Q79">
        <f>IFERROR(IF(AND($C79&lt;&gt;"",$C79&lt;&gt;"Exterior",COUNTIF($C$6:C79,$C79)=1,COUNTIF($R$6:$R$12,$C79)=0,COUNTIF($B$6:$B$505,$C79)=0),$C79,""),"")</f>
      </c>
      <c r="X79">
        <f>IFERROR(ROUND(MAX(0,SUMIFS($D$6:$D79,$C$6:$C79,$B79,$A$6:$A79,"&lt;="&amp;$A79)*MAX(0,IFERROR(1+VLOOKUP($B79,$F$6:$I$19,4,FALSE),IFERROR(1+INDEX($U$6:$U$505,MATCH($B79,$S$6:$S$505,0)),1)))-(SUMIFS($D$6:$D79,$B$6:$B79,$B79,$A$6:$A79,"&lt;="&amp;$A79)-$D79)),2),0)</f>
      </c>
    </row>
    <row r="80" spans="1:24" x14ac:dyDescent="0.25">
      <c r="A80" s="9">
        <v>46317</v>
      </c>
      <c r="B80" s="10"/>
      <c r="C80" s="10"/>
      <c r="D80" s="11"/>
      <c r="P80">
        <f>IFERROR(IF(AND($B80&lt;&gt;"",$B80&lt;&gt;"Exterior",COUNTIF($B$6:B80,$B80)=1,COUNTIF($R$6:$R$12,$B80)=0),$B80,""),"")</f>
      </c>
      <c r="Q80">
        <f>IFERROR(IF(AND($C80&lt;&gt;"",$C80&lt;&gt;"Exterior",COUNTIF($C$6:C80,$C80)=1,COUNTIF($R$6:$R$12,$C80)=0,COUNTIF($B$6:$B$505,$C80)=0),$C80,""),"")</f>
      </c>
      <c r="X80">
        <f>IFERROR(ROUND(MAX(0,SUMIFS($D$6:$D80,$C$6:$C80,$B80,$A$6:$A80,"&lt;="&amp;$A80)*MAX(0,IFERROR(1+VLOOKUP($B80,$F$6:$I$19,4,FALSE),IFERROR(1+INDEX($U$6:$U$505,MATCH($B80,$S$6:$S$505,0)),1)))-(SUMIFS($D$6:$D80,$B$6:$B80,$B80,$A$6:$A80,"&lt;="&amp;$A80)-$D80)),2),0)</f>
      </c>
    </row>
    <row r="81" spans="1:24" x14ac:dyDescent="0.25">
      <c r="A81" s="9">
        <v>46317</v>
      </c>
      <c r="B81" s="10"/>
      <c r="C81" s="10"/>
      <c r="D81" s="11"/>
      <c r="P81">
        <f>IFERROR(IF(AND($B81&lt;&gt;"",$B81&lt;&gt;"Exterior",COUNTIF($B$6:B81,$B81)=1,COUNTIF($R$6:$R$12,$B81)=0),$B81,""),"")</f>
      </c>
      <c r="Q81">
        <f>IFERROR(IF(AND($C81&lt;&gt;"",$C81&lt;&gt;"Exterior",COUNTIF($C$6:C81,$C81)=1,COUNTIF($R$6:$R$12,$C81)=0,COUNTIF($B$6:$B$505,$C81)=0),$C81,""),"")</f>
      </c>
      <c r="X81">
        <f>IFERROR(ROUND(MAX(0,SUMIFS($D$6:$D81,$C$6:$C81,$B81,$A$6:$A81,"&lt;="&amp;$A81)*MAX(0,IFERROR(1+VLOOKUP($B81,$F$6:$I$19,4,FALSE),IFERROR(1+INDEX($U$6:$U$505,MATCH($B81,$S$6:$S$505,0)),1)))-(SUMIFS($D$6:$D81,$B$6:$B81,$B81,$A$6:$A81,"&lt;="&amp;$A81)-$D81)),2),0)</f>
      </c>
    </row>
    <row r="82" spans="1:24" x14ac:dyDescent="0.25">
      <c r="A82" s="9">
        <v>46317</v>
      </c>
      <c r="B82" s="10"/>
      <c r="C82" s="10"/>
      <c r="D82" s="11"/>
      <c r="P82">
        <f>IFERROR(IF(AND($B82&lt;&gt;"",$B82&lt;&gt;"Exterior",COUNTIF($B$6:B82,$B82)=1,COUNTIF($R$6:$R$12,$B82)=0),$B82,""),"")</f>
      </c>
      <c r="Q82">
        <f>IFERROR(IF(AND($C82&lt;&gt;"",$C82&lt;&gt;"Exterior",COUNTIF($C$6:C82,$C82)=1,COUNTIF($R$6:$R$12,$C82)=0,COUNTIF($B$6:$B$505,$C82)=0),$C82,""),"")</f>
      </c>
      <c r="X82">
        <f>IFERROR(ROUND(MAX(0,SUMIFS($D$6:$D82,$C$6:$C82,$B82,$A$6:$A82,"&lt;="&amp;$A82)*MAX(0,IFERROR(1+VLOOKUP($B82,$F$6:$I$19,4,FALSE),IFERROR(1+INDEX($U$6:$U$505,MATCH($B82,$S$6:$S$505,0)),1)))-(SUMIFS($D$6:$D82,$B$6:$B82,$B82,$A$6:$A82,"&lt;="&amp;$A82)-$D82)),2),0)</f>
      </c>
    </row>
    <row r="83" spans="1:24" x14ac:dyDescent="0.25">
      <c r="A83" s="9">
        <v>46317</v>
      </c>
      <c r="B83" s="10"/>
      <c r="C83" s="10"/>
      <c r="D83" s="11"/>
      <c r="P83">
        <f>IFERROR(IF(AND($B83&lt;&gt;"",$B83&lt;&gt;"Exterior",COUNTIF($B$6:B83,$B83)=1,COUNTIF($R$6:$R$12,$B83)=0),$B83,""),"")</f>
      </c>
      <c r="Q83">
        <f>IFERROR(IF(AND($C83&lt;&gt;"",$C83&lt;&gt;"Exterior",COUNTIF($C$6:C83,$C83)=1,COUNTIF($R$6:$R$12,$C83)=0,COUNTIF($B$6:$B$505,$C83)=0),$C83,""),"")</f>
      </c>
      <c r="X83">
        <f>IFERROR(ROUND(MAX(0,SUMIFS($D$6:$D83,$C$6:$C83,$B83,$A$6:$A83,"&lt;="&amp;$A83)*MAX(0,IFERROR(1+VLOOKUP($B83,$F$6:$I$19,4,FALSE),IFERROR(1+INDEX($U$6:$U$505,MATCH($B83,$S$6:$S$505,0)),1)))-(SUMIFS($D$6:$D83,$B$6:$B83,$B83,$A$6:$A83,"&lt;="&amp;$A83)-$D83)),2),0)</f>
      </c>
    </row>
    <row r="84" spans="1:24" x14ac:dyDescent="0.25">
      <c r="A84" s="9">
        <v>46317</v>
      </c>
      <c r="B84" s="10"/>
      <c r="C84" s="10"/>
      <c r="D84" s="11"/>
      <c r="P84">
        <f>IFERROR(IF(AND($B84&lt;&gt;"",$B84&lt;&gt;"Exterior",COUNTIF($B$6:B84,$B84)=1,COUNTIF($R$6:$R$12,$B84)=0),$B84,""),"")</f>
      </c>
      <c r="Q84">
        <f>IFERROR(IF(AND($C84&lt;&gt;"",$C84&lt;&gt;"Exterior",COUNTIF($C$6:C84,$C84)=1,COUNTIF($R$6:$R$12,$C84)=0,COUNTIF($B$6:$B$505,$C84)=0),$C84,""),"")</f>
      </c>
      <c r="X84">
        <f>IFERROR(ROUND(MAX(0,SUMIFS($D$6:$D84,$C$6:$C84,$B84,$A$6:$A84,"&lt;="&amp;$A84)*MAX(0,IFERROR(1+VLOOKUP($B84,$F$6:$I$19,4,FALSE),IFERROR(1+INDEX($U$6:$U$505,MATCH($B84,$S$6:$S$505,0)),1)))-(SUMIFS($D$6:$D84,$B$6:$B84,$B84,$A$6:$A84,"&lt;="&amp;$A84)-$D84)),2),0)</f>
      </c>
    </row>
    <row r="85" spans="1:24" x14ac:dyDescent="0.25">
      <c r="A85" s="9">
        <v>46317</v>
      </c>
      <c r="B85" s="10"/>
      <c r="C85" s="10"/>
      <c r="D85" s="11"/>
      <c r="P85">
        <f>IFERROR(IF(AND($B85&lt;&gt;"",$B85&lt;&gt;"Exterior",COUNTIF($B$6:B85,$B85)=1,COUNTIF($R$6:$R$12,$B85)=0),$B85,""),"")</f>
      </c>
      <c r="Q85">
        <f>IFERROR(IF(AND($C85&lt;&gt;"",$C85&lt;&gt;"Exterior",COUNTIF($C$6:C85,$C85)=1,COUNTIF($R$6:$R$12,$C85)=0,COUNTIF($B$6:$B$505,$C85)=0),$C85,""),"")</f>
      </c>
      <c r="X85">
        <f>IFERROR(ROUND(MAX(0,SUMIFS($D$6:$D85,$C$6:$C85,$B85,$A$6:$A85,"&lt;="&amp;$A85)*MAX(0,IFERROR(1+VLOOKUP($B85,$F$6:$I$19,4,FALSE),IFERROR(1+INDEX($U$6:$U$505,MATCH($B85,$S$6:$S$505,0)),1)))-(SUMIFS($D$6:$D85,$B$6:$B85,$B85,$A$6:$A85,"&lt;="&amp;$A85)-$D85)),2),0)</f>
      </c>
    </row>
    <row r="86" spans="1:24" x14ac:dyDescent="0.25">
      <c r="A86" s="9">
        <v>46317</v>
      </c>
      <c r="B86" s="10"/>
      <c r="C86" s="10"/>
      <c r="D86" s="11"/>
      <c r="P86">
        <f>IFERROR(IF(AND($B86&lt;&gt;"",$B86&lt;&gt;"Exterior",COUNTIF($B$6:B86,$B86)=1,COUNTIF($R$6:$R$12,$B86)=0),$B86,""),"")</f>
      </c>
      <c r="Q86">
        <f>IFERROR(IF(AND($C86&lt;&gt;"",$C86&lt;&gt;"Exterior",COUNTIF($C$6:C86,$C86)=1,COUNTIF($R$6:$R$12,$C86)=0,COUNTIF($B$6:$B$505,$C86)=0),$C86,""),"")</f>
      </c>
      <c r="X86">
        <f>IFERROR(ROUND(MAX(0,SUMIFS($D$6:$D86,$C$6:$C86,$B86,$A$6:$A86,"&lt;="&amp;$A86)*MAX(0,IFERROR(1+VLOOKUP($B86,$F$6:$I$19,4,FALSE),IFERROR(1+INDEX($U$6:$U$505,MATCH($B86,$S$6:$S$505,0)),1)))-(SUMIFS($D$6:$D86,$B$6:$B86,$B86,$A$6:$A86,"&lt;="&amp;$A86)-$D86)),2),0)</f>
      </c>
    </row>
    <row r="87" spans="1:24" x14ac:dyDescent="0.25">
      <c r="A87" s="9">
        <v>46317</v>
      </c>
      <c r="B87" s="10"/>
      <c r="C87" s="10"/>
      <c r="D87" s="11"/>
      <c r="P87">
        <f>IFERROR(IF(AND($B87&lt;&gt;"",$B87&lt;&gt;"Exterior",COUNTIF($B$6:B87,$B87)=1,COUNTIF($R$6:$R$12,$B87)=0),$B87,""),"")</f>
      </c>
      <c r="Q87">
        <f>IFERROR(IF(AND($C87&lt;&gt;"",$C87&lt;&gt;"Exterior",COUNTIF($C$6:C87,$C87)=1,COUNTIF($R$6:$R$12,$C87)=0,COUNTIF($B$6:$B$505,$C87)=0),$C87,""),"")</f>
      </c>
      <c r="X87">
        <f>IFERROR(ROUND(MAX(0,SUMIFS($D$6:$D87,$C$6:$C87,$B87,$A$6:$A87,"&lt;="&amp;$A87)*MAX(0,IFERROR(1+VLOOKUP($B87,$F$6:$I$19,4,FALSE),IFERROR(1+INDEX($U$6:$U$505,MATCH($B87,$S$6:$S$505,0)),1)))-(SUMIFS($D$6:$D87,$B$6:$B87,$B87,$A$6:$A87,"&lt;="&amp;$A87)-$D87)),2),0)</f>
      </c>
    </row>
    <row r="88" spans="1:24" x14ac:dyDescent="0.25">
      <c r="A88" s="9">
        <v>46317</v>
      </c>
      <c r="B88" s="10"/>
      <c r="C88" s="10"/>
      <c r="D88" s="11"/>
      <c r="P88">
        <f>IFERROR(IF(AND($B88&lt;&gt;"",$B88&lt;&gt;"Exterior",COUNTIF($B$6:B88,$B88)=1,COUNTIF($R$6:$R$12,$B88)=0),$B88,""),"")</f>
      </c>
      <c r="Q88">
        <f>IFERROR(IF(AND($C88&lt;&gt;"",$C88&lt;&gt;"Exterior",COUNTIF($C$6:C88,$C88)=1,COUNTIF($R$6:$R$12,$C88)=0,COUNTIF($B$6:$B$505,$C88)=0),$C88,""),"")</f>
      </c>
      <c r="X88">
        <f>IFERROR(ROUND(MAX(0,SUMIFS($D$6:$D88,$C$6:$C88,$B88,$A$6:$A88,"&lt;="&amp;$A88)*MAX(0,IFERROR(1+VLOOKUP($B88,$F$6:$I$19,4,FALSE),IFERROR(1+INDEX($U$6:$U$505,MATCH($B88,$S$6:$S$505,0)),1)))-(SUMIFS($D$6:$D88,$B$6:$B88,$B88,$A$6:$A88,"&lt;="&amp;$A88)-$D88)),2),0)</f>
      </c>
    </row>
    <row r="89" spans="1:24" x14ac:dyDescent="0.25">
      <c r="A89" s="9">
        <v>46317</v>
      </c>
      <c r="B89" s="10"/>
      <c r="C89" s="10"/>
      <c r="D89" s="11"/>
      <c r="P89">
        <f>IFERROR(IF(AND($B89&lt;&gt;"",$B89&lt;&gt;"Exterior",COUNTIF($B$6:B89,$B89)=1,COUNTIF($R$6:$R$12,$B89)=0),$B89,""),"")</f>
      </c>
      <c r="Q89">
        <f>IFERROR(IF(AND($C89&lt;&gt;"",$C89&lt;&gt;"Exterior",COUNTIF($C$6:C89,$C89)=1,COUNTIF($R$6:$R$12,$C89)=0,COUNTIF($B$6:$B$505,$C89)=0),$C89,""),"")</f>
      </c>
      <c r="X89">
        <f>IFERROR(ROUND(MAX(0,SUMIFS($D$6:$D89,$C$6:$C89,$B89,$A$6:$A89,"&lt;="&amp;$A89)*MAX(0,IFERROR(1+VLOOKUP($B89,$F$6:$I$19,4,FALSE),IFERROR(1+INDEX($U$6:$U$505,MATCH($B89,$S$6:$S$505,0)),1)))-(SUMIFS($D$6:$D89,$B$6:$B89,$B89,$A$6:$A89,"&lt;="&amp;$A89)-$D89)),2),0)</f>
      </c>
    </row>
    <row r="90" spans="1:24" x14ac:dyDescent="0.25">
      <c r="A90" s="9">
        <v>46317</v>
      </c>
      <c r="B90" s="10"/>
      <c r="C90" s="10"/>
      <c r="D90" s="11"/>
      <c r="P90">
        <f>IFERROR(IF(AND($B90&lt;&gt;"",$B90&lt;&gt;"Exterior",COUNTIF($B$6:B90,$B90)=1,COUNTIF($R$6:$R$12,$B90)=0),$B90,""),"")</f>
      </c>
      <c r="Q90">
        <f>IFERROR(IF(AND($C90&lt;&gt;"",$C90&lt;&gt;"Exterior",COUNTIF($C$6:C90,$C90)=1,COUNTIF($R$6:$R$12,$C90)=0,COUNTIF($B$6:$B$505,$C90)=0),$C90,""),"")</f>
      </c>
      <c r="X90">
        <f>IFERROR(ROUND(MAX(0,SUMIFS($D$6:$D90,$C$6:$C90,$B90,$A$6:$A90,"&lt;="&amp;$A90)*MAX(0,IFERROR(1+VLOOKUP($B90,$F$6:$I$19,4,FALSE),IFERROR(1+INDEX($U$6:$U$505,MATCH($B90,$S$6:$S$505,0)),1)))-(SUMIFS($D$6:$D90,$B$6:$B90,$B90,$A$6:$A90,"&lt;="&amp;$A90)-$D90)),2),0)</f>
      </c>
    </row>
    <row r="91" spans="1:24" x14ac:dyDescent="0.25">
      <c r="A91" s="9">
        <v>46317</v>
      </c>
      <c r="B91" s="10"/>
      <c r="C91" s="10"/>
      <c r="D91" s="11"/>
      <c r="P91">
        <f>IFERROR(IF(AND($B91&lt;&gt;"",$B91&lt;&gt;"Exterior",COUNTIF($B$6:B91,$B91)=1,COUNTIF($R$6:$R$12,$B91)=0),$B91,""),"")</f>
      </c>
      <c r="Q91">
        <f>IFERROR(IF(AND($C91&lt;&gt;"",$C91&lt;&gt;"Exterior",COUNTIF($C$6:C91,$C91)=1,COUNTIF($R$6:$R$12,$C91)=0,COUNTIF($B$6:$B$505,$C91)=0),$C91,""),"")</f>
      </c>
      <c r="X91">
        <f>IFERROR(ROUND(MAX(0,SUMIFS($D$6:$D91,$C$6:$C91,$B91,$A$6:$A91,"&lt;="&amp;$A91)*MAX(0,IFERROR(1+VLOOKUP($B91,$F$6:$I$19,4,FALSE),IFERROR(1+INDEX($U$6:$U$505,MATCH($B91,$S$6:$S$505,0)),1)))-(SUMIFS($D$6:$D91,$B$6:$B91,$B91,$A$6:$A91,"&lt;="&amp;$A91)-$D91)),2),0)</f>
      </c>
    </row>
    <row r="92" spans="1:24" x14ac:dyDescent="0.25">
      <c r="A92" s="9">
        <v>46317</v>
      </c>
      <c r="B92" s="10"/>
      <c r="C92" s="10"/>
      <c r="D92" s="11"/>
      <c r="P92">
        <f>IFERROR(IF(AND($B92&lt;&gt;"",$B92&lt;&gt;"Exterior",COUNTIF($B$6:B92,$B92)=1,COUNTIF($R$6:$R$12,$B92)=0),$B92,""),"")</f>
      </c>
      <c r="Q92">
        <f>IFERROR(IF(AND($C92&lt;&gt;"",$C92&lt;&gt;"Exterior",COUNTIF($C$6:C92,$C92)=1,COUNTIF($R$6:$R$12,$C92)=0,COUNTIF($B$6:$B$505,$C92)=0),$C92,""),"")</f>
      </c>
      <c r="X92">
        <f>IFERROR(ROUND(MAX(0,SUMIFS($D$6:$D92,$C$6:$C92,$B92,$A$6:$A92,"&lt;="&amp;$A92)*MAX(0,IFERROR(1+VLOOKUP($B92,$F$6:$I$19,4,FALSE),IFERROR(1+INDEX($U$6:$U$505,MATCH($B92,$S$6:$S$505,0)),1)))-(SUMIFS($D$6:$D92,$B$6:$B92,$B92,$A$6:$A92,"&lt;="&amp;$A92)-$D92)),2),0)</f>
      </c>
    </row>
    <row r="93" spans="1:24" x14ac:dyDescent="0.25">
      <c r="A93" s="9">
        <v>46317</v>
      </c>
      <c r="B93" s="10"/>
      <c r="C93" s="10"/>
      <c r="D93" s="11"/>
      <c r="P93">
        <f>IFERROR(IF(AND($B93&lt;&gt;"",$B93&lt;&gt;"Exterior",COUNTIF($B$6:B93,$B93)=1,COUNTIF($R$6:$R$12,$B93)=0),$B93,""),"")</f>
      </c>
      <c r="Q93">
        <f>IFERROR(IF(AND($C93&lt;&gt;"",$C93&lt;&gt;"Exterior",COUNTIF($C$6:C93,$C93)=1,COUNTIF($R$6:$R$12,$C93)=0,COUNTIF($B$6:$B$505,$C93)=0),$C93,""),"")</f>
      </c>
      <c r="X93">
        <f>IFERROR(ROUND(MAX(0,SUMIFS($D$6:$D93,$C$6:$C93,$B93,$A$6:$A93,"&lt;="&amp;$A93)*MAX(0,IFERROR(1+VLOOKUP($B93,$F$6:$I$19,4,FALSE),IFERROR(1+INDEX($U$6:$U$505,MATCH($B93,$S$6:$S$505,0)),1)))-(SUMIFS($D$6:$D93,$B$6:$B93,$B93,$A$6:$A93,"&lt;="&amp;$A93)-$D93)),2),0)</f>
      </c>
    </row>
    <row r="94" spans="1:24" x14ac:dyDescent="0.25">
      <c r="A94" s="9">
        <v>46317</v>
      </c>
      <c r="B94" s="10"/>
      <c r="C94" s="10"/>
      <c r="D94" s="11"/>
      <c r="P94">
        <f>IFERROR(IF(AND($B94&lt;&gt;"",$B94&lt;&gt;"Exterior",COUNTIF($B$6:B94,$B94)=1,COUNTIF($R$6:$R$12,$B94)=0),$B94,""),"")</f>
      </c>
      <c r="Q94">
        <f>IFERROR(IF(AND($C94&lt;&gt;"",$C94&lt;&gt;"Exterior",COUNTIF($C$6:C94,$C94)=1,COUNTIF($R$6:$R$12,$C94)=0,COUNTIF($B$6:$B$505,$C94)=0),$C94,""),"")</f>
      </c>
      <c r="X94">
        <f>IFERROR(ROUND(MAX(0,SUMIFS($D$6:$D94,$C$6:$C94,$B94,$A$6:$A94,"&lt;="&amp;$A94)*MAX(0,IFERROR(1+VLOOKUP($B94,$F$6:$I$19,4,FALSE),IFERROR(1+INDEX($U$6:$U$505,MATCH($B94,$S$6:$S$505,0)),1)))-(SUMIFS($D$6:$D94,$B$6:$B94,$B94,$A$6:$A94,"&lt;="&amp;$A94)-$D94)),2),0)</f>
      </c>
    </row>
    <row r="95" spans="1:24" x14ac:dyDescent="0.25">
      <c r="A95" s="9">
        <v>46317</v>
      </c>
      <c r="B95" s="10"/>
      <c r="C95" s="10"/>
      <c r="D95" s="11"/>
      <c r="P95">
        <f>IFERROR(IF(AND($B95&lt;&gt;"",$B95&lt;&gt;"Exterior",COUNTIF($B$6:B95,$B95)=1,COUNTIF($R$6:$R$12,$B95)=0),$B95,""),"")</f>
      </c>
      <c r="Q95">
        <f>IFERROR(IF(AND($C95&lt;&gt;"",$C95&lt;&gt;"Exterior",COUNTIF($C$6:C95,$C95)=1,COUNTIF($R$6:$R$12,$C95)=0,COUNTIF($B$6:$B$505,$C95)=0),$C95,""),"")</f>
      </c>
      <c r="X95">
        <f>IFERROR(ROUND(MAX(0,SUMIFS($D$6:$D95,$C$6:$C95,$B95,$A$6:$A95,"&lt;="&amp;$A95)*MAX(0,IFERROR(1+VLOOKUP($B95,$F$6:$I$19,4,FALSE),IFERROR(1+INDEX($U$6:$U$505,MATCH($B95,$S$6:$S$505,0)),1)))-(SUMIFS($D$6:$D95,$B$6:$B95,$B95,$A$6:$A95,"&lt;="&amp;$A95)-$D95)),2),0)</f>
      </c>
    </row>
    <row r="96" spans="1:24" x14ac:dyDescent="0.25">
      <c r="A96" s="9">
        <v>46317</v>
      </c>
      <c r="B96" s="10"/>
      <c r="C96" s="10"/>
      <c r="D96" s="11"/>
      <c r="P96">
        <f>IFERROR(IF(AND($B96&lt;&gt;"",$B96&lt;&gt;"Exterior",COUNTIF($B$6:B96,$B96)=1,COUNTIF($R$6:$R$12,$B96)=0),$B96,""),"")</f>
      </c>
      <c r="Q96">
        <f>IFERROR(IF(AND($C96&lt;&gt;"",$C96&lt;&gt;"Exterior",COUNTIF($C$6:C96,$C96)=1,COUNTIF($R$6:$R$12,$C96)=0,COUNTIF($B$6:$B$505,$C96)=0),$C96,""),"")</f>
      </c>
      <c r="X96">
        <f>IFERROR(ROUND(MAX(0,SUMIFS($D$6:$D96,$C$6:$C96,$B96,$A$6:$A96,"&lt;="&amp;$A96)*MAX(0,IFERROR(1+VLOOKUP($B96,$F$6:$I$19,4,FALSE),IFERROR(1+INDEX($U$6:$U$505,MATCH($B96,$S$6:$S$505,0)),1)))-(SUMIFS($D$6:$D96,$B$6:$B96,$B96,$A$6:$A96,"&lt;="&amp;$A96)-$D96)),2),0)</f>
      </c>
    </row>
    <row r="97" spans="1:24" x14ac:dyDescent="0.25">
      <c r="A97" s="9">
        <v>46317</v>
      </c>
      <c r="B97" s="10"/>
      <c r="C97" s="10"/>
      <c r="D97" s="11"/>
      <c r="P97">
        <f>IFERROR(IF(AND($B97&lt;&gt;"",$B97&lt;&gt;"Exterior",COUNTIF($B$6:B97,$B97)=1,COUNTIF($R$6:$R$12,$B97)=0),$B97,""),"")</f>
      </c>
      <c r="Q97">
        <f>IFERROR(IF(AND($C97&lt;&gt;"",$C97&lt;&gt;"Exterior",COUNTIF($C$6:C97,$C97)=1,COUNTIF($R$6:$R$12,$C97)=0,COUNTIF($B$6:$B$505,$C97)=0),$C97,""),"")</f>
      </c>
      <c r="X97">
        <f>IFERROR(ROUND(MAX(0,SUMIFS($D$6:$D97,$C$6:$C97,$B97,$A$6:$A97,"&lt;="&amp;$A97)*MAX(0,IFERROR(1+VLOOKUP($B97,$F$6:$I$19,4,FALSE),IFERROR(1+INDEX($U$6:$U$505,MATCH($B97,$S$6:$S$505,0)),1)))-(SUMIFS($D$6:$D97,$B$6:$B97,$B97,$A$6:$A97,"&lt;="&amp;$A97)-$D97)),2),0)</f>
      </c>
    </row>
    <row r="98" spans="1:24" x14ac:dyDescent="0.25">
      <c r="A98" s="9">
        <v>46317</v>
      </c>
      <c r="B98" s="10"/>
      <c r="C98" s="10"/>
      <c r="D98" s="11"/>
      <c r="P98">
        <f>IFERROR(IF(AND($B98&lt;&gt;"",$B98&lt;&gt;"Exterior",COUNTIF($B$6:B98,$B98)=1,COUNTIF($R$6:$R$12,$B98)=0),$B98,""),"")</f>
      </c>
      <c r="Q98">
        <f>IFERROR(IF(AND($C98&lt;&gt;"",$C98&lt;&gt;"Exterior",COUNTIF($C$6:C98,$C98)=1,COUNTIF($R$6:$R$12,$C98)=0,COUNTIF($B$6:$B$505,$C98)=0),$C98,""),"")</f>
      </c>
      <c r="X98">
        <f>IFERROR(ROUND(MAX(0,SUMIFS($D$6:$D98,$C$6:$C98,$B98,$A$6:$A98,"&lt;="&amp;$A98)*MAX(0,IFERROR(1+VLOOKUP($B98,$F$6:$I$19,4,FALSE),IFERROR(1+INDEX($U$6:$U$505,MATCH($B98,$S$6:$S$505,0)),1)))-(SUMIFS($D$6:$D98,$B$6:$B98,$B98,$A$6:$A98,"&lt;="&amp;$A98)-$D98)),2),0)</f>
      </c>
    </row>
    <row r="99" spans="1:24" x14ac:dyDescent="0.25">
      <c r="A99" s="9">
        <v>46317</v>
      </c>
      <c r="B99" s="10"/>
      <c r="C99" s="10"/>
      <c r="D99" s="11"/>
      <c r="P99">
        <f>IFERROR(IF(AND($B99&lt;&gt;"",$B99&lt;&gt;"Exterior",COUNTIF($B$6:B99,$B99)=1,COUNTIF($R$6:$R$12,$B99)=0),$B99,""),"")</f>
      </c>
      <c r="Q99">
        <f>IFERROR(IF(AND($C99&lt;&gt;"",$C99&lt;&gt;"Exterior",COUNTIF($C$6:C99,$C99)=1,COUNTIF($R$6:$R$12,$C99)=0,COUNTIF($B$6:$B$505,$C99)=0),$C99,""),"")</f>
      </c>
      <c r="X99">
        <f>IFERROR(ROUND(MAX(0,SUMIFS($D$6:$D99,$C$6:$C99,$B99,$A$6:$A99,"&lt;="&amp;$A99)*MAX(0,IFERROR(1+VLOOKUP($B99,$F$6:$I$19,4,FALSE),IFERROR(1+INDEX($U$6:$U$505,MATCH($B99,$S$6:$S$505,0)),1)))-(SUMIFS($D$6:$D99,$B$6:$B99,$B99,$A$6:$A99,"&lt;="&amp;$A99)-$D99)),2),0)</f>
      </c>
    </row>
    <row r="100" spans="1:24" x14ac:dyDescent="0.25">
      <c r="A100" s="9">
        <v>46317</v>
      </c>
      <c r="B100" s="10"/>
      <c r="C100" s="10"/>
      <c r="D100" s="11"/>
      <c r="P100">
        <f>IFERROR(IF(AND($B100&lt;&gt;"",$B100&lt;&gt;"Exterior",COUNTIF($B$6:B100,$B100)=1,COUNTIF($R$6:$R$12,$B100)=0),$B100,""),"")</f>
      </c>
      <c r="Q100">
        <f>IFERROR(IF(AND($C100&lt;&gt;"",$C100&lt;&gt;"Exterior",COUNTIF($C$6:C100,$C100)=1,COUNTIF($R$6:$R$12,$C100)=0,COUNTIF($B$6:$B$505,$C100)=0),$C100,""),"")</f>
      </c>
      <c r="X100">
        <f>IFERROR(ROUND(MAX(0,SUMIFS($D$6:$D100,$C$6:$C100,$B100,$A$6:$A100,"&lt;="&amp;$A100)*MAX(0,IFERROR(1+VLOOKUP($B100,$F$6:$I$19,4,FALSE),IFERROR(1+INDEX($U$6:$U$505,MATCH($B100,$S$6:$S$505,0)),1)))-(SUMIFS($D$6:$D100,$B$6:$B100,$B100,$A$6:$A100,"&lt;="&amp;$A100)-$D100)),2),0)</f>
      </c>
    </row>
    <row r="101" spans="1:24" x14ac:dyDescent="0.25">
      <c r="A101" s="9">
        <v>46317</v>
      </c>
      <c r="B101" s="10"/>
      <c r="C101" s="10"/>
      <c r="D101" s="11"/>
      <c r="P101">
        <f>IFERROR(IF(AND($B101&lt;&gt;"",$B101&lt;&gt;"Exterior",COUNTIF($B$6:B101,$B101)=1,COUNTIF($R$6:$R$12,$B101)=0),$B101,""),"")</f>
      </c>
      <c r="Q101">
        <f>IFERROR(IF(AND($C101&lt;&gt;"",$C101&lt;&gt;"Exterior",COUNTIF($C$6:C101,$C101)=1,COUNTIF($R$6:$R$12,$C101)=0,COUNTIF($B$6:$B$505,$C101)=0),$C101,""),"")</f>
      </c>
      <c r="X101">
        <f>IFERROR(ROUND(MAX(0,SUMIFS($D$6:$D101,$C$6:$C101,$B101,$A$6:$A101,"&lt;="&amp;$A101)*MAX(0,IFERROR(1+VLOOKUP($B101,$F$6:$I$19,4,FALSE),IFERROR(1+INDEX($U$6:$U$505,MATCH($B101,$S$6:$S$505,0)),1)))-(SUMIFS($D$6:$D101,$B$6:$B101,$B101,$A$6:$A101,"&lt;="&amp;$A101)-$D101)),2),0)</f>
      </c>
    </row>
    <row r="102" spans="1:24" x14ac:dyDescent="0.25">
      <c r="A102" s="9">
        <v>46317</v>
      </c>
      <c r="B102" s="10"/>
      <c r="C102" s="10"/>
      <c r="D102" s="11"/>
      <c r="P102">
        <f>IFERROR(IF(AND($B102&lt;&gt;"",$B102&lt;&gt;"Exterior",COUNTIF($B$6:B102,$B102)=1,COUNTIF($R$6:$R$12,$B102)=0),$B102,""),"")</f>
      </c>
      <c r="Q102">
        <f>IFERROR(IF(AND($C102&lt;&gt;"",$C102&lt;&gt;"Exterior",COUNTIF($C$6:C102,$C102)=1,COUNTIF($R$6:$R$12,$C102)=0,COUNTIF($B$6:$B$505,$C102)=0),$C102,""),"")</f>
      </c>
      <c r="X102">
        <f>IFERROR(ROUND(MAX(0,SUMIFS($D$6:$D102,$C$6:$C102,$B102,$A$6:$A102,"&lt;="&amp;$A102)*MAX(0,IFERROR(1+VLOOKUP($B102,$F$6:$I$19,4,FALSE),IFERROR(1+INDEX($U$6:$U$505,MATCH($B102,$S$6:$S$505,0)),1)))-(SUMIFS($D$6:$D102,$B$6:$B102,$B102,$A$6:$A102,"&lt;="&amp;$A102)-$D102)),2),0)</f>
      </c>
    </row>
    <row r="103" spans="1:24" x14ac:dyDescent="0.25">
      <c r="A103" s="9">
        <v>46317</v>
      </c>
      <c r="B103" s="10"/>
      <c r="C103" s="10"/>
      <c r="D103" s="11"/>
      <c r="P103">
        <f>IFERROR(IF(AND($B103&lt;&gt;"",$B103&lt;&gt;"Exterior",COUNTIF($B$6:B103,$B103)=1,COUNTIF($R$6:$R$12,$B103)=0),$B103,""),"")</f>
      </c>
      <c r="Q103">
        <f>IFERROR(IF(AND($C103&lt;&gt;"",$C103&lt;&gt;"Exterior",COUNTIF($C$6:C103,$C103)=1,COUNTIF($R$6:$R$12,$C103)=0,COUNTIF($B$6:$B$505,$C103)=0),$C103,""),"")</f>
      </c>
      <c r="X103">
        <f>IFERROR(ROUND(MAX(0,SUMIFS($D$6:$D103,$C$6:$C103,$B103,$A$6:$A103,"&lt;="&amp;$A103)*MAX(0,IFERROR(1+VLOOKUP($B103,$F$6:$I$19,4,FALSE),IFERROR(1+INDEX($U$6:$U$505,MATCH($B103,$S$6:$S$505,0)),1)))-(SUMIFS($D$6:$D103,$B$6:$B103,$B103,$A$6:$A103,"&lt;="&amp;$A103)-$D103)),2),0)</f>
      </c>
    </row>
    <row r="104" spans="1:24" x14ac:dyDescent="0.25">
      <c r="A104" s="9">
        <v>46317</v>
      </c>
      <c r="B104" s="10"/>
      <c r="C104" s="10"/>
      <c r="D104" s="11"/>
      <c r="P104">
        <f>IFERROR(IF(AND($B104&lt;&gt;"",$B104&lt;&gt;"Exterior",COUNTIF($B$6:B104,$B104)=1,COUNTIF($R$6:$R$12,$B104)=0),$B104,""),"")</f>
      </c>
      <c r="Q104">
        <f>IFERROR(IF(AND($C104&lt;&gt;"",$C104&lt;&gt;"Exterior",COUNTIF($C$6:C104,$C104)=1,COUNTIF($R$6:$R$12,$C104)=0,COUNTIF($B$6:$B$505,$C104)=0),$C104,""),"")</f>
      </c>
      <c r="X104">
        <f>IFERROR(ROUND(MAX(0,SUMIFS($D$6:$D104,$C$6:$C104,$B104,$A$6:$A104,"&lt;="&amp;$A104)*MAX(0,IFERROR(1+VLOOKUP($B104,$F$6:$I$19,4,FALSE),IFERROR(1+INDEX($U$6:$U$505,MATCH($B104,$S$6:$S$505,0)),1)))-(SUMIFS($D$6:$D104,$B$6:$B104,$B104,$A$6:$A104,"&lt;="&amp;$A104)-$D104)),2),0)</f>
      </c>
    </row>
    <row r="105" spans="1:24" x14ac:dyDescent="0.25">
      <c r="A105" s="9">
        <v>46317</v>
      </c>
      <c r="B105" s="10"/>
      <c r="C105" s="10"/>
      <c r="D105" s="11"/>
      <c r="P105">
        <f>IFERROR(IF(AND($B105&lt;&gt;"",$B105&lt;&gt;"Exterior",COUNTIF($B$6:B105,$B105)=1,COUNTIF($R$6:$R$12,$B105)=0),$B105,""),"")</f>
      </c>
      <c r="Q105">
        <f>IFERROR(IF(AND($C105&lt;&gt;"",$C105&lt;&gt;"Exterior",COUNTIF($C$6:C105,$C105)=1,COUNTIF($R$6:$R$12,$C105)=0,COUNTIF($B$6:$B$505,$C105)=0),$C105,""),"")</f>
      </c>
      <c r="X105">
        <f>IFERROR(ROUND(MAX(0,SUMIFS($D$6:$D105,$C$6:$C105,$B105,$A$6:$A105,"&lt;="&amp;$A105)*MAX(0,IFERROR(1+VLOOKUP($B105,$F$6:$I$19,4,FALSE),IFERROR(1+INDEX($U$6:$U$505,MATCH($B105,$S$6:$S$505,0)),1)))-(SUMIFS($D$6:$D105,$B$6:$B105,$B105,$A$6:$A105,"&lt;="&amp;$A105)-$D105)),2),0)</f>
      </c>
    </row>
    <row r="106" spans="1:24" x14ac:dyDescent="0.25">
      <c r="A106" s="9">
        <v>46317</v>
      </c>
      <c r="B106" s="10"/>
      <c r="C106" s="10"/>
      <c r="D106" s="11"/>
      <c r="P106">
        <f>IFERROR(IF(AND($B106&lt;&gt;"",$B106&lt;&gt;"Exterior",COUNTIF($B$6:B106,$B106)=1,COUNTIF($R$6:$R$12,$B106)=0),$B106,""),"")</f>
      </c>
      <c r="Q106">
        <f>IFERROR(IF(AND($C106&lt;&gt;"",$C106&lt;&gt;"Exterior",COUNTIF($C$6:C106,$C106)=1,COUNTIF($R$6:$R$12,$C106)=0,COUNTIF($B$6:$B$505,$C106)=0),$C106,""),"")</f>
      </c>
      <c r="X106">
        <f>IFERROR(ROUND(MAX(0,SUMIFS($D$6:$D106,$C$6:$C106,$B106,$A$6:$A106,"&lt;="&amp;$A106)*MAX(0,IFERROR(1+VLOOKUP($B106,$F$6:$I$19,4,FALSE),IFERROR(1+INDEX($U$6:$U$505,MATCH($B106,$S$6:$S$505,0)),1)))-(SUMIFS($D$6:$D106,$B$6:$B106,$B106,$A$6:$A106,"&lt;="&amp;$A106)-$D106)),2),0)</f>
      </c>
    </row>
    <row r="107" spans="1:24" x14ac:dyDescent="0.25">
      <c r="A107" s="9">
        <v>46317</v>
      </c>
      <c r="B107" s="10"/>
      <c r="C107" s="10"/>
      <c r="D107" s="11"/>
      <c r="P107">
        <f>IFERROR(IF(AND($B107&lt;&gt;"",$B107&lt;&gt;"Exterior",COUNTIF($B$6:B107,$B107)=1,COUNTIF($R$6:$R$12,$B107)=0),$B107,""),"")</f>
      </c>
      <c r="Q107">
        <f>IFERROR(IF(AND($C107&lt;&gt;"",$C107&lt;&gt;"Exterior",COUNTIF($C$6:C107,$C107)=1,COUNTIF($R$6:$R$12,$C107)=0,COUNTIF($B$6:$B$505,$C107)=0),$C107,""),"")</f>
      </c>
      <c r="X107">
        <f>IFERROR(ROUND(MAX(0,SUMIFS($D$6:$D107,$C$6:$C107,$B107,$A$6:$A107,"&lt;="&amp;$A107)*MAX(0,IFERROR(1+VLOOKUP($B107,$F$6:$I$19,4,FALSE),IFERROR(1+INDEX($U$6:$U$505,MATCH($B107,$S$6:$S$505,0)),1)))-(SUMIFS($D$6:$D107,$B$6:$B107,$B107,$A$6:$A107,"&lt;="&amp;$A107)-$D107)),2),0)</f>
      </c>
    </row>
    <row r="108" spans="1:24" x14ac:dyDescent="0.25">
      <c r="A108" s="9">
        <v>46317</v>
      </c>
      <c r="B108" s="10"/>
      <c r="C108" s="10"/>
      <c r="D108" s="11"/>
      <c r="P108">
        <f>IFERROR(IF(AND($B108&lt;&gt;"",$B108&lt;&gt;"Exterior",COUNTIF($B$6:B108,$B108)=1,COUNTIF($R$6:$R$12,$B108)=0),$B108,""),"")</f>
      </c>
      <c r="Q108">
        <f>IFERROR(IF(AND($C108&lt;&gt;"",$C108&lt;&gt;"Exterior",COUNTIF($C$6:C108,$C108)=1,COUNTIF($R$6:$R$12,$C108)=0,COUNTIF($B$6:$B$505,$C108)=0),$C108,""),"")</f>
      </c>
      <c r="X108">
        <f>IFERROR(ROUND(MAX(0,SUMIFS($D$6:$D108,$C$6:$C108,$B108,$A$6:$A108,"&lt;="&amp;$A108)*MAX(0,IFERROR(1+VLOOKUP($B108,$F$6:$I$19,4,FALSE),IFERROR(1+INDEX($U$6:$U$505,MATCH($B108,$S$6:$S$505,0)),1)))-(SUMIFS($D$6:$D108,$B$6:$B108,$B108,$A$6:$A108,"&lt;="&amp;$A108)-$D108)),2),0)</f>
      </c>
    </row>
    <row r="109" spans="1:24" x14ac:dyDescent="0.25">
      <c r="A109" s="9">
        <v>46317</v>
      </c>
      <c r="B109" s="10"/>
      <c r="C109" s="10"/>
      <c r="D109" s="11"/>
      <c r="P109">
        <f>IFERROR(IF(AND($B109&lt;&gt;"",$B109&lt;&gt;"Exterior",COUNTIF($B$6:B109,$B109)=1,COUNTIF($R$6:$R$12,$B109)=0),$B109,""),"")</f>
      </c>
      <c r="Q109">
        <f>IFERROR(IF(AND($C109&lt;&gt;"",$C109&lt;&gt;"Exterior",COUNTIF($C$6:C109,$C109)=1,COUNTIF($R$6:$R$12,$C109)=0,COUNTIF($B$6:$B$505,$C109)=0),$C109,""),"")</f>
      </c>
      <c r="X109">
        <f>IFERROR(ROUND(MAX(0,SUMIFS($D$6:$D109,$C$6:$C109,$B109,$A$6:$A109,"&lt;="&amp;$A109)*MAX(0,IFERROR(1+VLOOKUP($B109,$F$6:$I$19,4,FALSE),IFERROR(1+INDEX($U$6:$U$505,MATCH($B109,$S$6:$S$505,0)),1)))-(SUMIFS($D$6:$D109,$B$6:$B109,$B109,$A$6:$A109,"&lt;="&amp;$A109)-$D109)),2),0)</f>
      </c>
    </row>
    <row r="110" spans="1:24" x14ac:dyDescent="0.25">
      <c r="A110" s="9">
        <v>46317</v>
      </c>
      <c r="B110" s="10"/>
      <c r="C110" s="10"/>
      <c r="D110" s="11"/>
      <c r="P110">
        <f>IFERROR(IF(AND($B110&lt;&gt;"",$B110&lt;&gt;"Exterior",COUNTIF($B$6:B110,$B110)=1,COUNTIF($R$6:$R$12,$B110)=0),$B110,""),"")</f>
      </c>
      <c r="Q110">
        <f>IFERROR(IF(AND($C110&lt;&gt;"",$C110&lt;&gt;"Exterior",COUNTIF($C$6:C110,$C110)=1,COUNTIF($R$6:$R$12,$C110)=0,COUNTIF($B$6:$B$505,$C110)=0),$C110,""),"")</f>
      </c>
      <c r="X110">
        <f>IFERROR(ROUND(MAX(0,SUMIFS($D$6:$D110,$C$6:$C110,$B110,$A$6:$A110,"&lt;="&amp;$A110)*MAX(0,IFERROR(1+VLOOKUP($B110,$F$6:$I$19,4,FALSE),IFERROR(1+INDEX($U$6:$U$505,MATCH($B110,$S$6:$S$505,0)),1)))-(SUMIFS($D$6:$D110,$B$6:$B110,$B110,$A$6:$A110,"&lt;="&amp;$A110)-$D110)),2),0)</f>
      </c>
    </row>
    <row r="111" spans="1:24" x14ac:dyDescent="0.25">
      <c r="A111" s="9">
        <v>46317</v>
      </c>
      <c r="B111" s="10"/>
      <c r="C111" s="10"/>
      <c r="D111" s="11"/>
      <c r="P111">
        <f>IFERROR(IF(AND($B111&lt;&gt;"",$B111&lt;&gt;"Exterior",COUNTIF($B$6:B111,$B111)=1,COUNTIF($R$6:$R$12,$B111)=0),$B111,""),"")</f>
      </c>
      <c r="Q111">
        <f>IFERROR(IF(AND($C111&lt;&gt;"",$C111&lt;&gt;"Exterior",COUNTIF($C$6:C111,$C111)=1,COUNTIF($R$6:$R$12,$C111)=0,COUNTIF($B$6:$B$505,$C111)=0),$C111,""),"")</f>
      </c>
      <c r="X111">
        <f>IFERROR(ROUND(MAX(0,SUMIFS($D$6:$D111,$C$6:$C111,$B111,$A$6:$A111,"&lt;="&amp;$A111)*MAX(0,IFERROR(1+VLOOKUP($B111,$F$6:$I$19,4,FALSE),IFERROR(1+INDEX($U$6:$U$505,MATCH($B111,$S$6:$S$505,0)),1)))-(SUMIFS($D$6:$D111,$B$6:$B111,$B111,$A$6:$A111,"&lt;="&amp;$A111)-$D111)),2),0)</f>
      </c>
    </row>
    <row r="112" spans="1:24" x14ac:dyDescent="0.25">
      <c r="A112" s="9">
        <v>46317</v>
      </c>
      <c r="B112" s="10"/>
      <c r="C112" s="10"/>
      <c r="D112" s="11"/>
      <c r="P112">
        <f>IFERROR(IF(AND($B112&lt;&gt;"",$B112&lt;&gt;"Exterior",COUNTIF($B$6:B112,$B112)=1,COUNTIF($R$6:$R$12,$B112)=0),$B112,""),"")</f>
      </c>
      <c r="Q112">
        <f>IFERROR(IF(AND($C112&lt;&gt;"",$C112&lt;&gt;"Exterior",COUNTIF($C$6:C112,$C112)=1,COUNTIF($R$6:$R$12,$C112)=0,COUNTIF($B$6:$B$505,$C112)=0),$C112,""),"")</f>
      </c>
      <c r="X112">
        <f>IFERROR(ROUND(MAX(0,SUMIFS($D$6:$D112,$C$6:$C112,$B112,$A$6:$A112,"&lt;="&amp;$A112)*MAX(0,IFERROR(1+VLOOKUP($B112,$F$6:$I$19,4,FALSE),IFERROR(1+INDEX($U$6:$U$505,MATCH($B112,$S$6:$S$505,0)),1)))-(SUMIFS($D$6:$D112,$B$6:$B112,$B112,$A$6:$A112,"&lt;="&amp;$A112)-$D112)),2),0)</f>
      </c>
    </row>
    <row r="113" spans="1:24" x14ac:dyDescent="0.25">
      <c r="A113" s="9">
        <v>46317</v>
      </c>
      <c r="B113" s="10"/>
      <c r="C113" s="10"/>
      <c r="D113" s="11"/>
      <c r="P113">
        <f>IFERROR(IF(AND($B113&lt;&gt;"",$B113&lt;&gt;"Exterior",COUNTIF($B$6:B113,$B113)=1,COUNTIF($R$6:$R$12,$B113)=0),$B113,""),"")</f>
      </c>
      <c r="Q113">
        <f>IFERROR(IF(AND($C113&lt;&gt;"",$C113&lt;&gt;"Exterior",COUNTIF($C$6:C113,$C113)=1,COUNTIF($R$6:$R$12,$C113)=0,COUNTIF($B$6:$B$505,$C113)=0),$C113,""),"")</f>
      </c>
      <c r="X113">
        <f>IFERROR(ROUND(MAX(0,SUMIFS($D$6:$D113,$C$6:$C113,$B113,$A$6:$A113,"&lt;="&amp;$A113)*MAX(0,IFERROR(1+VLOOKUP($B113,$F$6:$I$19,4,FALSE),IFERROR(1+INDEX($U$6:$U$505,MATCH($B113,$S$6:$S$505,0)),1)))-(SUMIFS($D$6:$D113,$B$6:$B113,$B113,$A$6:$A113,"&lt;="&amp;$A113)-$D113)),2),0)</f>
      </c>
    </row>
    <row r="114" spans="1:24" x14ac:dyDescent="0.25">
      <c r="A114" s="9">
        <v>46317</v>
      </c>
      <c r="B114" s="10"/>
      <c r="C114" s="10"/>
      <c r="D114" s="11"/>
      <c r="P114">
        <f>IFERROR(IF(AND($B114&lt;&gt;"",$B114&lt;&gt;"Exterior",COUNTIF($B$6:B114,$B114)=1,COUNTIF($R$6:$R$12,$B114)=0),$B114,""),"")</f>
      </c>
      <c r="Q114">
        <f>IFERROR(IF(AND($C114&lt;&gt;"",$C114&lt;&gt;"Exterior",COUNTIF($C$6:C114,$C114)=1,COUNTIF($R$6:$R$12,$C114)=0,COUNTIF($B$6:$B$505,$C114)=0),$C114,""),"")</f>
      </c>
      <c r="X114">
        <f>IFERROR(ROUND(MAX(0,SUMIFS($D$6:$D114,$C$6:$C114,$B114,$A$6:$A114,"&lt;="&amp;$A114)*MAX(0,IFERROR(1+VLOOKUP($B114,$F$6:$I$19,4,FALSE),IFERROR(1+INDEX($U$6:$U$505,MATCH($B114,$S$6:$S$505,0)),1)))-(SUMIFS($D$6:$D114,$B$6:$B114,$B114,$A$6:$A114,"&lt;="&amp;$A114)-$D114)),2),0)</f>
      </c>
    </row>
    <row r="115" spans="1:24" x14ac:dyDescent="0.25">
      <c r="A115" s="9">
        <v>46317</v>
      </c>
      <c r="B115" s="10"/>
      <c r="C115" s="10"/>
      <c r="D115" s="11"/>
      <c r="P115">
        <f>IFERROR(IF(AND($B115&lt;&gt;"",$B115&lt;&gt;"Exterior",COUNTIF($B$6:B115,$B115)=1,COUNTIF($R$6:$R$12,$B115)=0),$B115,""),"")</f>
      </c>
      <c r="Q115">
        <f>IFERROR(IF(AND($C115&lt;&gt;"",$C115&lt;&gt;"Exterior",COUNTIF($C$6:C115,$C115)=1,COUNTIF($R$6:$R$12,$C115)=0,COUNTIF($B$6:$B$505,$C115)=0),$C115,""),"")</f>
      </c>
      <c r="X115">
        <f>IFERROR(ROUND(MAX(0,SUMIFS($D$6:$D115,$C$6:$C115,$B115,$A$6:$A115,"&lt;="&amp;$A115)*MAX(0,IFERROR(1+VLOOKUP($B115,$F$6:$I$19,4,FALSE),IFERROR(1+INDEX($U$6:$U$505,MATCH($B115,$S$6:$S$505,0)),1)))-(SUMIFS($D$6:$D115,$B$6:$B115,$B115,$A$6:$A115,"&lt;="&amp;$A115)-$D115)),2),0)</f>
      </c>
    </row>
    <row r="116" spans="1:24" x14ac:dyDescent="0.25">
      <c r="A116" s="9">
        <v>46317</v>
      </c>
      <c r="B116" s="10"/>
      <c r="C116" s="10"/>
      <c r="D116" s="11"/>
      <c r="P116">
        <f>IFERROR(IF(AND($B116&lt;&gt;"",$B116&lt;&gt;"Exterior",COUNTIF($B$6:B116,$B116)=1,COUNTIF($R$6:$R$12,$B116)=0),$B116,""),"")</f>
      </c>
      <c r="Q116">
        <f>IFERROR(IF(AND($C116&lt;&gt;"",$C116&lt;&gt;"Exterior",COUNTIF($C$6:C116,$C116)=1,COUNTIF($R$6:$R$12,$C116)=0,COUNTIF($B$6:$B$505,$C116)=0),$C116,""),"")</f>
      </c>
      <c r="X116">
        <f>IFERROR(ROUND(MAX(0,SUMIFS($D$6:$D116,$C$6:$C116,$B116,$A$6:$A116,"&lt;="&amp;$A116)*MAX(0,IFERROR(1+VLOOKUP($B116,$F$6:$I$19,4,FALSE),IFERROR(1+INDEX($U$6:$U$505,MATCH($B116,$S$6:$S$505,0)),1)))-(SUMIFS($D$6:$D116,$B$6:$B116,$B116,$A$6:$A116,"&lt;="&amp;$A116)-$D116)),2),0)</f>
      </c>
    </row>
    <row r="117" spans="1:24" x14ac:dyDescent="0.25">
      <c r="A117" s="9">
        <v>46317</v>
      </c>
      <c r="B117" s="10"/>
      <c r="C117" s="10"/>
      <c r="D117" s="11"/>
      <c r="P117">
        <f>IFERROR(IF(AND($B117&lt;&gt;"",$B117&lt;&gt;"Exterior",COUNTIF($B$6:B117,$B117)=1,COUNTIF($R$6:$R$12,$B117)=0),$B117,""),"")</f>
      </c>
      <c r="Q117">
        <f>IFERROR(IF(AND($C117&lt;&gt;"",$C117&lt;&gt;"Exterior",COUNTIF($C$6:C117,$C117)=1,COUNTIF($R$6:$R$12,$C117)=0,COUNTIF($B$6:$B$505,$C117)=0),$C117,""),"")</f>
      </c>
      <c r="X117">
        <f>IFERROR(ROUND(MAX(0,SUMIFS($D$6:$D117,$C$6:$C117,$B117,$A$6:$A117,"&lt;="&amp;$A117)*MAX(0,IFERROR(1+VLOOKUP($B117,$F$6:$I$19,4,FALSE),IFERROR(1+INDEX($U$6:$U$505,MATCH($B117,$S$6:$S$505,0)),1)))-(SUMIFS($D$6:$D117,$B$6:$B117,$B117,$A$6:$A117,"&lt;="&amp;$A117)-$D117)),2),0)</f>
      </c>
    </row>
    <row r="118" spans="1:24" x14ac:dyDescent="0.25">
      <c r="A118" s="9">
        <v>46317</v>
      </c>
      <c r="B118" s="10"/>
      <c r="C118" s="10"/>
      <c r="D118" s="11"/>
      <c r="P118">
        <f>IFERROR(IF(AND($B118&lt;&gt;"",$B118&lt;&gt;"Exterior",COUNTIF($B$6:B118,$B118)=1,COUNTIF($R$6:$R$12,$B118)=0),$B118,""),"")</f>
      </c>
      <c r="Q118">
        <f>IFERROR(IF(AND($C118&lt;&gt;"",$C118&lt;&gt;"Exterior",COUNTIF($C$6:C118,$C118)=1,COUNTIF($R$6:$R$12,$C118)=0,COUNTIF($B$6:$B$505,$C118)=0),$C118,""),"")</f>
      </c>
      <c r="X118">
        <f>IFERROR(ROUND(MAX(0,SUMIFS($D$6:$D118,$C$6:$C118,$B118,$A$6:$A118,"&lt;="&amp;$A118)*MAX(0,IFERROR(1+VLOOKUP($B118,$F$6:$I$19,4,FALSE),IFERROR(1+INDEX($U$6:$U$505,MATCH($B118,$S$6:$S$505,0)),1)))-(SUMIFS($D$6:$D118,$B$6:$B118,$B118,$A$6:$A118,"&lt;="&amp;$A118)-$D118)),2),0)</f>
      </c>
    </row>
    <row r="119" spans="1:24" x14ac:dyDescent="0.25">
      <c r="A119" s="9">
        <v>46317</v>
      </c>
      <c r="B119" s="10"/>
      <c r="C119" s="10"/>
      <c r="D119" s="11"/>
      <c r="P119">
        <f>IFERROR(IF(AND($B119&lt;&gt;"",$B119&lt;&gt;"Exterior",COUNTIF($B$6:B119,$B119)=1,COUNTIF($R$6:$R$12,$B119)=0),$B119,""),"")</f>
      </c>
      <c r="Q119">
        <f>IFERROR(IF(AND($C119&lt;&gt;"",$C119&lt;&gt;"Exterior",COUNTIF($C$6:C119,$C119)=1,COUNTIF($R$6:$R$12,$C119)=0,COUNTIF($B$6:$B$505,$C119)=0),$C119,""),"")</f>
      </c>
      <c r="X119">
        <f>IFERROR(ROUND(MAX(0,SUMIFS($D$6:$D119,$C$6:$C119,$B119,$A$6:$A119,"&lt;="&amp;$A119)*MAX(0,IFERROR(1+VLOOKUP($B119,$F$6:$I$19,4,FALSE),IFERROR(1+INDEX($U$6:$U$505,MATCH($B119,$S$6:$S$505,0)),1)))-(SUMIFS($D$6:$D119,$B$6:$B119,$B119,$A$6:$A119,"&lt;="&amp;$A119)-$D119)),2),0)</f>
      </c>
    </row>
    <row r="120" spans="1:24" x14ac:dyDescent="0.25">
      <c r="A120" s="9">
        <v>46317</v>
      </c>
      <c r="B120" s="10"/>
      <c r="C120" s="10"/>
      <c r="D120" s="11"/>
      <c r="P120">
        <f>IFERROR(IF(AND($B120&lt;&gt;"",$B120&lt;&gt;"Exterior",COUNTIF($B$6:B120,$B120)=1,COUNTIF($R$6:$R$12,$B120)=0),$B120,""),"")</f>
      </c>
      <c r="Q120">
        <f>IFERROR(IF(AND($C120&lt;&gt;"",$C120&lt;&gt;"Exterior",COUNTIF($C$6:C120,$C120)=1,COUNTIF($R$6:$R$12,$C120)=0,COUNTIF($B$6:$B$505,$C120)=0),$C120,""),"")</f>
      </c>
      <c r="X120">
        <f>IFERROR(ROUND(MAX(0,SUMIFS($D$6:$D120,$C$6:$C120,$B120,$A$6:$A120,"&lt;="&amp;$A120)*MAX(0,IFERROR(1+VLOOKUP($B120,$F$6:$I$19,4,FALSE),IFERROR(1+INDEX($U$6:$U$505,MATCH($B120,$S$6:$S$505,0)),1)))-(SUMIFS($D$6:$D120,$B$6:$B120,$B120,$A$6:$A120,"&lt;="&amp;$A120)-$D120)),2),0)</f>
      </c>
    </row>
    <row r="121" spans="1:24" x14ac:dyDescent="0.25">
      <c r="A121" s="9">
        <v>46317</v>
      </c>
      <c r="B121" s="10"/>
      <c r="C121" s="10"/>
      <c r="D121" s="11"/>
      <c r="P121">
        <f>IFERROR(IF(AND($B121&lt;&gt;"",$B121&lt;&gt;"Exterior",COUNTIF($B$6:B121,$B121)=1,COUNTIF($R$6:$R$12,$B121)=0),$B121,""),"")</f>
      </c>
      <c r="Q121">
        <f>IFERROR(IF(AND($C121&lt;&gt;"",$C121&lt;&gt;"Exterior",COUNTIF($C$6:C121,$C121)=1,COUNTIF($R$6:$R$12,$C121)=0,COUNTIF($B$6:$B$505,$C121)=0),$C121,""),"")</f>
      </c>
      <c r="X121">
        <f>IFERROR(ROUND(MAX(0,SUMIFS($D$6:$D121,$C$6:$C121,$B121,$A$6:$A121,"&lt;="&amp;$A121)*MAX(0,IFERROR(1+VLOOKUP($B121,$F$6:$I$19,4,FALSE),IFERROR(1+INDEX($U$6:$U$505,MATCH($B121,$S$6:$S$505,0)),1)))-(SUMIFS($D$6:$D121,$B$6:$B121,$B121,$A$6:$A121,"&lt;="&amp;$A121)-$D121)),2),0)</f>
      </c>
    </row>
    <row r="122" spans="1:24" x14ac:dyDescent="0.25">
      <c r="A122" s="9">
        <v>46317</v>
      </c>
      <c r="B122" s="10"/>
      <c r="C122" s="10"/>
      <c r="D122" s="11"/>
      <c r="P122">
        <f>IFERROR(IF(AND($B122&lt;&gt;"",$B122&lt;&gt;"Exterior",COUNTIF($B$6:B122,$B122)=1,COUNTIF($R$6:$R$12,$B122)=0),$B122,""),"")</f>
      </c>
      <c r="Q122">
        <f>IFERROR(IF(AND($C122&lt;&gt;"",$C122&lt;&gt;"Exterior",COUNTIF($C$6:C122,$C122)=1,COUNTIF($R$6:$R$12,$C122)=0,COUNTIF($B$6:$B$505,$C122)=0),$C122,""),"")</f>
      </c>
      <c r="X122">
        <f>IFERROR(ROUND(MAX(0,SUMIFS($D$6:$D122,$C$6:$C122,$B122,$A$6:$A122,"&lt;="&amp;$A122)*MAX(0,IFERROR(1+VLOOKUP($B122,$F$6:$I$19,4,FALSE),IFERROR(1+INDEX($U$6:$U$505,MATCH($B122,$S$6:$S$505,0)),1)))-(SUMIFS($D$6:$D122,$B$6:$B122,$B122,$A$6:$A122,"&lt;="&amp;$A122)-$D122)),2),0)</f>
      </c>
    </row>
    <row r="123" spans="1:24" x14ac:dyDescent="0.25">
      <c r="A123" s="9">
        <v>46317</v>
      </c>
      <c r="B123" s="10"/>
      <c r="C123" s="10"/>
      <c r="D123" s="11"/>
      <c r="P123">
        <f>IFERROR(IF(AND($B123&lt;&gt;"",$B123&lt;&gt;"Exterior",COUNTIF($B$6:B123,$B123)=1,COUNTIF($R$6:$R$12,$B123)=0),$B123,""),"")</f>
      </c>
      <c r="Q123">
        <f>IFERROR(IF(AND($C123&lt;&gt;"",$C123&lt;&gt;"Exterior",COUNTIF($C$6:C123,$C123)=1,COUNTIF($R$6:$R$12,$C123)=0,COUNTIF($B$6:$B$505,$C123)=0),$C123,""),"")</f>
      </c>
      <c r="X123">
        <f>IFERROR(ROUND(MAX(0,SUMIFS($D$6:$D123,$C$6:$C123,$B123,$A$6:$A123,"&lt;="&amp;$A123)*MAX(0,IFERROR(1+VLOOKUP($B123,$F$6:$I$19,4,FALSE),IFERROR(1+INDEX($U$6:$U$505,MATCH($B123,$S$6:$S$505,0)),1)))-(SUMIFS($D$6:$D123,$B$6:$B123,$B123,$A$6:$A123,"&lt;="&amp;$A123)-$D123)),2),0)</f>
      </c>
    </row>
    <row r="124" spans="1:24" x14ac:dyDescent="0.25">
      <c r="A124" s="9">
        <v>46317</v>
      </c>
      <c r="B124" s="10"/>
      <c r="C124" s="10"/>
      <c r="D124" s="11"/>
      <c r="P124">
        <f>IFERROR(IF(AND($B124&lt;&gt;"",$B124&lt;&gt;"Exterior",COUNTIF($B$6:B124,$B124)=1,COUNTIF($R$6:$R$12,$B124)=0),$B124,""),"")</f>
      </c>
      <c r="Q124">
        <f>IFERROR(IF(AND($C124&lt;&gt;"",$C124&lt;&gt;"Exterior",COUNTIF($C$6:C124,$C124)=1,COUNTIF($R$6:$R$12,$C124)=0,COUNTIF($B$6:$B$505,$C124)=0),$C124,""),"")</f>
      </c>
      <c r="X124">
        <f>IFERROR(ROUND(MAX(0,SUMIFS($D$6:$D124,$C$6:$C124,$B124,$A$6:$A124,"&lt;="&amp;$A124)*MAX(0,IFERROR(1+VLOOKUP($B124,$F$6:$I$19,4,FALSE),IFERROR(1+INDEX($U$6:$U$505,MATCH($B124,$S$6:$S$505,0)),1)))-(SUMIFS($D$6:$D124,$B$6:$B124,$B124,$A$6:$A124,"&lt;="&amp;$A124)-$D124)),2),0)</f>
      </c>
    </row>
    <row r="125" spans="1:24" x14ac:dyDescent="0.25">
      <c r="A125" s="9">
        <v>46317</v>
      </c>
      <c r="B125" s="10"/>
      <c r="C125" s="10"/>
      <c r="D125" s="11"/>
      <c r="P125">
        <f>IFERROR(IF(AND($B125&lt;&gt;"",$B125&lt;&gt;"Exterior",COUNTIF($B$6:B125,$B125)=1,COUNTIF($R$6:$R$12,$B125)=0),$B125,""),"")</f>
      </c>
      <c r="Q125">
        <f>IFERROR(IF(AND($C125&lt;&gt;"",$C125&lt;&gt;"Exterior",COUNTIF($C$6:C125,$C125)=1,COUNTIF($R$6:$R$12,$C125)=0,COUNTIF($B$6:$B$505,$C125)=0),$C125,""),"")</f>
      </c>
      <c r="X125">
        <f>IFERROR(ROUND(MAX(0,SUMIFS($D$6:$D125,$C$6:$C125,$B125,$A$6:$A125,"&lt;="&amp;$A125)*MAX(0,IFERROR(1+VLOOKUP($B125,$F$6:$I$19,4,FALSE),IFERROR(1+INDEX($U$6:$U$505,MATCH($B125,$S$6:$S$505,0)),1)))-(SUMIFS($D$6:$D125,$B$6:$B125,$B125,$A$6:$A125,"&lt;="&amp;$A125)-$D125)),2),0)</f>
      </c>
    </row>
    <row r="126" spans="1:24" x14ac:dyDescent="0.25">
      <c r="A126" s="9">
        <v>46317</v>
      </c>
      <c r="B126" s="10"/>
      <c r="C126" s="10"/>
      <c r="D126" s="11"/>
      <c r="P126">
        <f>IFERROR(IF(AND($B126&lt;&gt;"",$B126&lt;&gt;"Exterior",COUNTIF($B$6:B126,$B126)=1,COUNTIF($R$6:$R$12,$B126)=0),$B126,""),"")</f>
      </c>
      <c r="Q126">
        <f>IFERROR(IF(AND($C126&lt;&gt;"",$C126&lt;&gt;"Exterior",COUNTIF($C$6:C126,$C126)=1,COUNTIF($R$6:$R$12,$C126)=0,COUNTIF($B$6:$B$505,$C126)=0),$C126,""),"")</f>
      </c>
      <c r="X126">
        <f>IFERROR(ROUND(MAX(0,SUMIFS($D$6:$D126,$C$6:$C126,$B126,$A$6:$A126,"&lt;="&amp;$A126)*MAX(0,IFERROR(1+VLOOKUP($B126,$F$6:$I$19,4,FALSE),IFERROR(1+INDEX($U$6:$U$505,MATCH($B126,$S$6:$S$505,0)),1)))-(SUMIFS($D$6:$D126,$B$6:$B126,$B126,$A$6:$A126,"&lt;="&amp;$A126)-$D126)),2),0)</f>
      </c>
    </row>
    <row r="127" spans="1:24" x14ac:dyDescent="0.25">
      <c r="A127" s="9">
        <v>46317</v>
      </c>
      <c r="B127" s="10"/>
      <c r="C127" s="10"/>
      <c r="D127" s="11"/>
      <c r="P127">
        <f>IFERROR(IF(AND($B127&lt;&gt;"",$B127&lt;&gt;"Exterior",COUNTIF($B$6:B127,$B127)=1,COUNTIF($R$6:$R$12,$B127)=0),$B127,""),"")</f>
      </c>
      <c r="Q127">
        <f>IFERROR(IF(AND($C127&lt;&gt;"",$C127&lt;&gt;"Exterior",COUNTIF($C$6:C127,$C127)=1,COUNTIF($R$6:$R$12,$C127)=0,COUNTIF($B$6:$B$505,$C127)=0),$C127,""),"")</f>
      </c>
      <c r="X127">
        <f>IFERROR(ROUND(MAX(0,SUMIFS($D$6:$D127,$C$6:$C127,$B127,$A$6:$A127,"&lt;="&amp;$A127)*MAX(0,IFERROR(1+VLOOKUP($B127,$F$6:$I$19,4,FALSE),IFERROR(1+INDEX($U$6:$U$505,MATCH($B127,$S$6:$S$505,0)),1)))-(SUMIFS($D$6:$D127,$B$6:$B127,$B127,$A$6:$A127,"&lt;="&amp;$A127)-$D127)),2),0)</f>
      </c>
    </row>
    <row r="128" spans="1:24" x14ac:dyDescent="0.25">
      <c r="A128" s="9">
        <v>46317</v>
      </c>
      <c r="B128" s="10"/>
      <c r="C128" s="10"/>
      <c r="D128" s="11"/>
      <c r="P128">
        <f>IFERROR(IF(AND($B128&lt;&gt;"",$B128&lt;&gt;"Exterior",COUNTIF($B$6:B128,$B128)=1,COUNTIF($R$6:$R$12,$B128)=0),$B128,""),"")</f>
      </c>
      <c r="Q128">
        <f>IFERROR(IF(AND($C128&lt;&gt;"",$C128&lt;&gt;"Exterior",COUNTIF($C$6:C128,$C128)=1,COUNTIF($R$6:$R$12,$C128)=0,COUNTIF($B$6:$B$505,$C128)=0),$C128,""),"")</f>
      </c>
      <c r="X128">
        <f>IFERROR(ROUND(MAX(0,SUMIFS($D$6:$D128,$C$6:$C128,$B128,$A$6:$A128,"&lt;="&amp;$A128)*MAX(0,IFERROR(1+VLOOKUP($B128,$F$6:$I$19,4,FALSE),IFERROR(1+INDEX($U$6:$U$505,MATCH($B128,$S$6:$S$505,0)),1)))-(SUMIFS($D$6:$D128,$B$6:$B128,$B128,$A$6:$A128,"&lt;="&amp;$A128)-$D128)),2),0)</f>
      </c>
    </row>
    <row r="129" spans="1:24" x14ac:dyDescent="0.25">
      <c r="A129" s="9">
        <v>46317</v>
      </c>
      <c r="B129" s="10"/>
      <c r="C129" s="10"/>
      <c r="D129" s="11"/>
      <c r="P129">
        <f>IFERROR(IF(AND($B129&lt;&gt;"",$B129&lt;&gt;"Exterior",COUNTIF($B$6:B129,$B129)=1,COUNTIF($R$6:$R$12,$B129)=0),$B129,""),"")</f>
      </c>
      <c r="Q129">
        <f>IFERROR(IF(AND($C129&lt;&gt;"",$C129&lt;&gt;"Exterior",COUNTIF($C$6:C129,$C129)=1,COUNTIF($R$6:$R$12,$C129)=0,COUNTIF($B$6:$B$505,$C129)=0),$C129,""),"")</f>
      </c>
      <c r="X129">
        <f>IFERROR(ROUND(MAX(0,SUMIFS($D$6:$D129,$C$6:$C129,$B129,$A$6:$A129,"&lt;="&amp;$A129)*MAX(0,IFERROR(1+VLOOKUP($B129,$F$6:$I$19,4,FALSE),IFERROR(1+INDEX($U$6:$U$505,MATCH($B129,$S$6:$S$505,0)),1)))-(SUMIFS($D$6:$D129,$B$6:$B129,$B129,$A$6:$A129,"&lt;="&amp;$A129)-$D129)),2),0)</f>
      </c>
    </row>
    <row r="130" spans="1:24" x14ac:dyDescent="0.25">
      <c r="A130" s="9">
        <v>46317</v>
      </c>
      <c r="B130" s="10"/>
      <c r="C130" s="10"/>
      <c r="D130" s="11"/>
      <c r="P130">
        <f>IFERROR(IF(AND($B130&lt;&gt;"",$B130&lt;&gt;"Exterior",COUNTIF($B$6:B130,$B130)=1,COUNTIF($R$6:$R$12,$B130)=0),$B130,""),"")</f>
      </c>
      <c r="Q130">
        <f>IFERROR(IF(AND($C130&lt;&gt;"",$C130&lt;&gt;"Exterior",COUNTIF($C$6:C130,$C130)=1,COUNTIF($R$6:$R$12,$C130)=0,COUNTIF($B$6:$B$505,$C130)=0),$C130,""),"")</f>
      </c>
      <c r="X130">
        <f>IFERROR(ROUND(MAX(0,SUMIFS($D$6:$D130,$C$6:$C130,$B130,$A$6:$A130,"&lt;="&amp;$A130)*MAX(0,IFERROR(1+VLOOKUP($B130,$F$6:$I$19,4,FALSE),IFERROR(1+INDEX($U$6:$U$505,MATCH($B130,$S$6:$S$505,0)),1)))-(SUMIFS($D$6:$D130,$B$6:$B130,$B130,$A$6:$A130,"&lt;="&amp;$A130)-$D130)),2),0)</f>
      </c>
    </row>
    <row r="131" spans="1:24" x14ac:dyDescent="0.25">
      <c r="A131" s="9">
        <v>46317</v>
      </c>
      <c r="B131" s="10"/>
      <c r="C131" s="10"/>
      <c r="D131" s="11"/>
      <c r="P131">
        <f>IFERROR(IF(AND($B131&lt;&gt;"",$B131&lt;&gt;"Exterior",COUNTIF($B$6:B131,$B131)=1,COUNTIF($R$6:$R$12,$B131)=0),$B131,""),"")</f>
      </c>
      <c r="Q131">
        <f>IFERROR(IF(AND($C131&lt;&gt;"",$C131&lt;&gt;"Exterior",COUNTIF($C$6:C131,$C131)=1,COUNTIF($R$6:$R$12,$C131)=0,COUNTIF($B$6:$B$505,$C131)=0),$C131,""),"")</f>
      </c>
      <c r="X131">
        <f>IFERROR(ROUND(MAX(0,SUMIFS($D$6:$D131,$C$6:$C131,$B131,$A$6:$A131,"&lt;="&amp;$A131)*MAX(0,IFERROR(1+VLOOKUP($B131,$F$6:$I$19,4,FALSE),IFERROR(1+INDEX($U$6:$U$505,MATCH($B131,$S$6:$S$505,0)),1)))-(SUMIFS($D$6:$D131,$B$6:$B131,$B131,$A$6:$A131,"&lt;="&amp;$A131)-$D131)),2),0)</f>
      </c>
    </row>
    <row r="132" spans="1:24" x14ac:dyDescent="0.25">
      <c r="A132" s="9">
        <v>46317</v>
      </c>
      <c r="B132" s="10"/>
      <c r="C132" s="10"/>
      <c r="D132" s="11"/>
      <c r="P132">
        <f>IFERROR(IF(AND($B132&lt;&gt;"",$B132&lt;&gt;"Exterior",COUNTIF($B$6:B132,$B132)=1,COUNTIF($R$6:$R$12,$B132)=0),$B132,""),"")</f>
      </c>
      <c r="Q132">
        <f>IFERROR(IF(AND($C132&lt;&gt;"",$C132&lt;&gt;"Exterior",COUNTIF($C$6:C132,$C132)=1,COUNTIF($R$6:$R$12,$C132)=0,COUNTIF($B$6:$B$505,$C132)=0),$C132,""),"")</f>
      </c>
      <c r="X132">
        <f>IFERROR(ROUND(MAX(0,SUMIFS($D$6:$D132,$C$6:$C132,$B132,$A$6:$A132,"&lt;="&amp;$A132)*MAX(0,IFERROR(1+VLOOKUP($B132,$F$6:$I$19,4,FALSE),IFERROR(1+INDEX($U$6:$U$505,MATCH($B132,$S$6:$S$505,0)),1)))-(SUMIFS($D$6:$D132,$B$6:$B132,$B132,$A$6:$A132,"&lt;="&amp;$A132)-$D132)),2),0)</f>
      </c>
    </row>
    <row r="133" spans="1:24" x14ac:dyDescent="0.25">
      <c r="A133" s="9">
        <v>46317</v>
      </c>
      <c r="B133" s="10"/>
      <c r="C133" s="10"/>
      <c r="D133" s="11"/>
      <c r="P133">
        <f>IFERROR(IF(AND($B133&lt;&gt;"",$B133&lt;&gt;"Exterior",COUNTIF($B$6:B133,$B133)=1,COUNTIF($R$6:$R$12,$B133)=0),$B133,""),"")</f>
      </c>
      <c r="Q133">
        <f>IFERROR(IF(AND($C133&lt;&gt;"",$C133&lt;&gt;"Exterior",COUNTIF($C$6:C133,$C133)=1,COUNTIF($R$6:$R$12,$C133)=0,COUNTIF($B$6:$B$505,$C133)=0),$C133,""),"")</f>
      </c>
      <c r="X133">
        <f>IFERROR(ROUND(MAX(0,SUMIFS($D$6:$D133,$C$6:$C133,$B133,$A$6:$A133,"&lt;="&amp;$A133)*MAX(0,IFERROR(1+VLOOKUP($B133,$F$6:$I$19,4,FALSE),IFERROR(1+INDEX($U$6:$U$505,MATCH($B133,$S$6:$S$505,0)),1)))-(SUMIFS($D$6:$D133,$B$6:$B133,$B133,$A$6:$A133,"&lt;="&amp;$A133)-$D133)),2),0)</f>
      </c>
    </row>
    <row r="134" spans="1:24" x14ac:dyDescent="0.25">
      <c r="A134" s="9">
        <v>46317</v>
      </c>
      <c r="B134" s="10"/>
      <c r="C134" s="10"/>
      <c r="D134" s="11"/>
      <c r="P134">
        <f>IFERROR(IF(AND($B134&lt;&gt;"",$B134&lt;&gt;"Exterior",COUNTIF($B$6:B134,$B134)=1,COUNTIF($R$6:$R$12,$B134)=0),$B134,""),"")</f>
      </c>
      <c r="Q134">
        <f>IFERROR(IF(AND($C134&lt;&gt;"",$C134&lt;&gt;"Exterior",COUNTIF($C$6:C134,$C134)=1,COUNTIF($R$6:$R$12,$C134)=0,COUNTIF($B$6:$B$505,$C134)=0),$C134,""),"")</f>
      </c>
      <c r="X134">
        <f>IFERROR(ROUND(MAX(0,SUMIFS($D$6:$D134,$C$6:$C134,$B134,$A$6:$A134,"&lt;="&amp;$A134)*MAX(0,IFERROR(1+VLOOKUP($B134,$F$6:$I$19,4,FALSE),IFERROR(1+INDEX($U$6:$U$505,MATCH($B134,$S$6:$S$505,0)),1)))-(SUMIFS($D$6:$D134,$B$6:$B134,$B134,$A$6:$A134,"&lt;="&amp;$A134)-$D134)),2),0)</f>
      </c>
    </row>
    <row r="135" spans="1:24" x14ac:dyDescent="0.25">
      <c r="A135" s="9">
        <v>46317</v>
      </c>
      <c r="B135" s="10"/>
      <c r="C135" s="10"/>
      <c r="D135" s="11"/>
      <c r="P135">
        <f>IFERROR(IF(AND($B135&lt;&gt;"",$B135&lt;&gt;"Exterior",COUNTIF($B$6:B135,$B135)=1,COUNTIF($R$6:$R$12,$B135)=0),$B135,""),"")</f>
      </c>
      <c r="Q135">
        <f>IFERROR(IF(AND($C135&lt;&gt;"",$C135&lt;&gt;"Exterior",COUNTIF($C$6:C135,$C135)=1,COUNTIF($R$6:$R$12,$C135)=0,COUNTIF($B$6:$B$505,$C135)=0),$C135,""),"")</f>
      </c>
      <c r="X135">
        <f>IFERROR(ROUND(MAX(0,SUMIFS($D$6:$D135,$C$6:$C135,$B135,$A$6:$A135,"&lt;="&amp;$A135)*MAX(0,IFERROR(1+VLOOKUP($B135,$F$6:$I$19,4,FALSE),IFERROR(1+INDEX($U$6:$U$505,MATCH($B135,$S$6:$S$505,0)),1)))-(SUMIFS($D$6:$D135,$B$6:$B135,$B135,$A$6:$A135,"&lt;="&amp;$A135)-$D135)),2),0)</f>
      </c>
    </row>
    <row r="136" spans="1:24" x14ac:dyDescent="0.25">
      <c r="A136" s="9">
        <v>46317</v>
      </c>
      <c r="B136" s="10"/>
      <c r="C136" s="10"/>
      <c r="D136" s="11"/>
      <c r="P136">
        <f>IFERROR(IF(AND($B136&lt;&gt;"",$B136&lt;&gt;"Exterior",COUNTIF($B$6:B136,$B136)=1,COUNTIF($R$6:$R$12,$B136)=0),$B136,""),"")</f>
      </c>
      <c r="Q136">
        <f>IFERROR(IF(AND($C136&lt;&gt;"",$C136&lt;&gt;"Exterior",COUNTIF($C$6:C136,$C136)=1,COUNTIF($R$6:$R$12,$C136)=0,COUNTIF($B$6:$B$505,$C136)=0),$C136,""),"")</f>
      </c>
      <c r="X136">
        <f>IFERROR(ROUND(MAX(0,SUMIFS($D$6:$D136,$C$6:$C136,$B136,$A$6:$A136,"&lt;="&amp;$A136)*MAX(0,IFERROR(1+VLOOKUP($B136,$F$6:$I$19,4,FALSE),IFERROR(1+INDEX($U$6:$U$505,MATCH($B136,$S$6:$S$505,0)),1)))-(SUMIFS($D$6:$D136,$B$6:$B136,$B136,$A$6:$A136,"&lt;="&amp;$A136)-$D136)),2),0)</f>
      </c>
    </row>
    <row r="137" spans="1:24" x14ac:dyDescent="0.25">
      <c r="A137" s="9">
        <v>46317</v>
      </c>
      <c r="B137" s="10"/>
      <c r="C137" s="10"/>
      <c r="D137" s="11"/>
      <c r="P137">
        <f>IFERROR(IF(AND($B137&lt;&gt;"",$B137&lt;&gt;"Exterior",COUNTIF($B$6:B137,$B137)=1,COUNTIF($R$6:$R$12,$B137)=0),$B137,""),"")</f>
      </c>
      <c r="Q137">
        <f>IFERROR(IF(AND($C137&lt;&gt;"",$C137&lt;&gt;"Exterior",COUNTIF($C$6:C137,$C137)=1,COUNTIF($R$6:$R$12,$C137)=0,COUNTIF($B$6:$B$505,$C137)=0),$C137,""),"")</f>
      </c>
      <c r="X137">
        <f>IFERROR(ROUND(MAX(0,SUMIFS($D$6:$D137,$C$6:$C137,$B137,$A$6:$A137,"&lt;="&amp;$A137)*MAX(0,IFERROR(1+VLOOKUP($B137,$F$6:$I$19,4,FALSE),IFERROR(1+INDEX($U$6:$U$505,MATCH($B137,$S$6:$S$505,0)),1)))-(SUMIFS($D$6:$D137,$B$6:$B137,$B137,$A$6:$A137,"&lt;="&amp;$A137)-$D137)),2),0)</f>
      </c>
    </row>
    <row r="138" spans="1:24" x14ac:dyDescent="0.25">
      <c r="A138" s="9">
        <v>46317</v>
      </c>
      <c r="B138" s="10"/>
      <c r="C138" s="10"/>
      <c r="D138" s="11"/>
      <c r="P138">
        <f>IFERROR(IF(AND($B138&lt;&gt;"",$B138&lt;&gt;"Exterior",COUNTIF($B$6:B138,$B138)=1,COUNTIF($R$6:$R$12,$B138)=0),$B138,""),"")</f>
      </c>
      <c r="Q138">
        <f>IFERROR(IF(AND($C138&lt;&gt;"",$C138&lt;&gt;"Exterior",COUNTIF($C$6:C138,$C138)=1,COUNTIF($R$6:$R$12,$C138)=0,COUNTIF($B$6:$B$505,$C138)=0),$C138,""),"")</f>
      </c>
      <c r="X138">
        <f>IFERROR(ROUND(MAX(0,SUMIFS($D$6:$D138,$C$6:$C138,$B138,$A$6:$A138,"&lt;="&amp;$A138)*MAX(0,IFERROR(1+VLOOKUP($B138,$F$6:$I$19,4,FALSE),IFERROR(1+INDEX($U$6:$U$505,MATCH($B138,$S$6:$S$505,0)),1)))-(SUMIFS($D$6:$D138,$B$6:$B138,$B138,$A$6:$A138,"&lt;="&amp;$A138)-$D138)),2),0)</f>
      </c>
    </row>
    <row r="139" spans="1:24" x14ac:dyDescent="0.25">
      <c r="A139" s="9">
        <v>46317</v>
      </c>
      <c r="B139" s="10"/>
      <c r="C139" s="10"/>
      <c r="D139" s="11"/>
      <c r="P139">
        <f>IFERROR(IF(AND($B139&lt;&gt;"",$B139&lt;&gt;"Exterior",COUNTIF($B$6:B139,$B139)=1,COUNTIF($R$6:$R$12,$B139)=0),$B139,""),"")</f>
      </c>
      <c r="Q139">
        <f>IFERROR(IF(AND($C139&lt;&gt;"",$C139&lt;&gt;"Exterior",COUNTIF($C$6:C139,$C139)=1,COUNTIF($R$6:$R$12,$C139)=0,COUNTIF($B$6:$B$505,$C139)=0),$C139,""),"")</f>
      </c>
      <c r="X139">
        <f>IFERROR(ROUND(MAX(0,SUMIFS($D$6:$D139,$C$6:$C139,$B139,$A$6:$A139,"&lt;="&amp;$A139)*MAX(0,IFERROR(1+VLOOKUP($B139,$F$6:$I$19,4,FALSE),IFERROR(1+INDEX($U$6:$U$505,MATCH($B139,$S$6:$S$505,0)),1)))-(SUMIFS($D$6:$D139,$B$6:$B139,$B139,$A$6:$A139,"&lt;="&amp;$A139)-$D139)),2),0)</f>
      </c>
    </row>
    <row r="140" spans="1:24" x14ac:dyDescent="0.25">
      <c r="A140" s="9">
        <v>46317</v>
      </c>
      <c r="B140" s="10"/>
      <c r="C140" s="10"/>
      <c r="D140" s="11"/>
      <c r="P140">
        <f>IFERROR(IF(AND($B140&lt;&gt;"",$B140&lt;&gt;"Exterior",COUNTIF($B$6:B140,$B140)=1,COUNTIF($R$6:$R$12,$B140)=0),$B140,""),"")</f>
      </c>
      <c r="Q140">
        <f>IFERROR(IF(AND($C140&lt;&gt;"",$C140&lt;&gt;"Exterior",COUNTIF($C$6:C140,$C140)=1,COUNTIF($R$6:$R$12,$C140)=0,COUNTIF($B$6:$B$505,$C140)=0),$C140,""),"")</f>
      </c>
      <c r="X140">
        <f>IFERROR(ROUND(MAX(0,SUMIFS($D$6:$D140,$C$6:$C140,$B140,$A$6:$A140,"&lt;="&amp;$A140)*MAX(0,IFERROR(1+VLOOKUP($B140,$F$6:$I$19,4,FALSE),IFERROR(1+INDEX($U$6:$U$505,MATCH($B140,$S$6:$S$505,0)),1)))-(SUMIFS($D$6:$D140,$B$6:$B140,$B140,$A$6:$A140,"&lt;="&amp;$A140)-$D140)),2),0)</f>
      </c>
    </row>
    <row r="141" spans="1:24" x14ac:dyDescent="0.25">
      <c r="A141" s="9">
        <v>46317</v>
      </c>
      <c r="B141" s="10"/>
      <c r="C141" s="10"/>
      <c r="D141" s="11"/>
      <c r="P141">
        <f>IFERROR(IF(AND($B141&lt;&gt;"",$B141&lt;&gt;"Exterior",COUNTIF($B$6:B141,$B141)=1,COUNTIF($R$6:$R$12,$B141)=0),$B141,""),"")</f>
      </c>
      <c r="Q141">
        <f>IFERROR(IF(AND($C141&lt;&gt;"",$C141&lt;&gt;"Exterior",COUNTIF($C$6:C141,$C141)=1,COUNTIF($R$6:$R$12,$C141)=0,COUNTIF($B$6:$B$505,$C141)=0),$C141,""),"")</f>
      </c>
      <c r="X141">
        <f>IFERROR(ROUND(MAX(0,SUMIFS($D$6:$D141,$C$6:$C141,$B141,$A$6:$A141,"&lt;="&amp;$A141)*MAX(0,IFERROR(1+VLOOKUP($B141,$F$6:$I$19,4,FALSE),IFERROR(1+INDEX($U$6:$U$505,MATCH($B141,$S$6:$S$505,0)),1)))-(SUMIFS($D$6:$D141,$B$6:$B141,$B141,$A$6:$A141,"&lt;="&amp;$A141)-$D141)),2),0)</f>
      </c>
    </row>
    <row r="142" spans="1:24" x14ac:dyDescent="0.25">
      <c r="A142" s="9">
        <v>46317</v>
      </c>
      <c r="B142" s="10"/>
      <c r="C142" s="10"/>
      <c r="D142" s="11"/>
      <c r="P142">
        <f>IFERROR(IF(AND($B142&lt;&gt;"",$B142&lt;&gt;"Exterior",COUNTIF($B$6:B142,$B142)=1,COUNTIF($R$6:$R$12,$B142)=0),$B142,""),"")</f>
      </c>
      <c r="Q142">
        <f>IFERROR(IF(AND($C142&lt;&gt;"",$C142&lt;&gt;"Exterior",COUNTIF($C$6:C142,$C142)=1,COUNTIF($R$6:$R$12,$C142)=0,COUNTIF($B$6:$B$505,$C142)=0),$C142,""),"")</f>
      </c>
      <c r="X142">
        <f>IFERROR(ROUND(MAX(0,SUMIFS($D$6:$D142,$C$6:$C142,$B142,$A$6:$A142,"&lt;="&amp;$A142)*MAX(0,IFERROR(1+VLOOKUP($B142,$F$6:$I$19,4,FALSE),IFERROR(1+INDEX($U$6:$U$505,MATCH($B142,$S$6:$S$505,0)),1)))-(SUMIFS($D$6:$D142,$B$6:$B142,$B142,$A$6:$A142,"&lt;="&amp;$A142)-$D142)),2),0)</f>
      </c>
    </row>
    <row r="143" spans="1:24" x14ac:dyDescent="0.25">
      <c r="A143" s="9">
        <v>46317</v>
      </c>
      <c r="B143" s="10"/>
      <c r="C143" s="10"/>
      <c r="D143" s="11"/>
      <c r="P143">
        <f>IFERROR(IF(AND($B143&lt;&gt;"",$B143&lt;&gt;"Exterior",COUNTIF($B$6:B143,$B143)=1,COUNTIF($R$6:$R$12,$B143)=0),$B143,""),"")</f>
      </c>
      <c r="Q143">
        <f>IFERROR(IF(AND($C143&lt;&gt;"",$C143&lt;&gt;"Exterior",COUNTIF($C$6:C143,$C143)=1,COUNTIF($R$6:$R$12,$C143)=0,COUNTIF($B$6:$B$505,$C143)=0),$C143,""),"")</f>
      </c>
      <c r="X143">
        <f>IFERROR(ROUND(MAX(0,SUMIFS($D$6:$D143,$C$6:$C143,$B143,$A$6:$A143,"&lt;="&amp;$A143)*MAX(0,IFERROR(1+VLOOKUP($B143,$F$6:$I$19,4,FALSE),IFERROR(1+INDEX($U$6:$U$505,MATCH($B143,$S$6:$S$505,0)),1)))-(SUMIFS($D$6:$D143,$B$6:$B143,$B143,$A$6:$A143,"&lt;="&amp;$A143)-$D143)),2),0)</f>
      </c>
    </row>
    <row r="144" spans="1:24" x14ac:dyDescent="0.25">
      <c r="A144" s="9">
        <v>46317</v>
      </c>
      <c r="B144" s="10"/>
      <c r="C144" s="10"/>
      <c r="D144" s="11"/>
      <c r="P144">
        <f>IFERROR(IF(AND($B144&lt;&gt;"",$B144&lt;&gt;"Exterior",COUNTIF($B$6:B144,$B144)=1,COUNTIF($R$6:$R$12,$B144)=0),$B144,""),"")</f>
      </c>
      <c r="Q144">
        <f>IFERROR(IF(AND($C144&lt;&gt;"",$C144&lt;&gt;"Exterior",COUNTIF($C$6:C144,$C144)=1,COUNTIF($R$6:$R$12,$C144)=0,COUNTIF($B$6:$B$505,$C144)=0),$C144,""),"")</f>
      </c>
      <c r="X144">
        <f>IFERROR(ROUND(MAX(0,SUMIFS($D$6:$D144,$C$6:$C144,$B144,$A$6:$A144,"&lt;="&amp;$A144)*MAX(0,IFERROR(1+VLOOKUP($B144,$F$6:$I$19,4,FALSE),IFERROR(1+INDEX($U$6:$U$505,MATCH($B144,$S$6:$S$505,0)),1)))-(SUMIFS($D$6:$D144,$B$6:$B144,$B144,$A$6:$A144,"&lt;="&amp;$A144)-$D144)),2),0)</f>
      </c>
    </row>
    <row r="145" spans="1:24" x14ac:dyDescent="0.25">
      <c r="A145" s="9">
        <v>46317</v>
      </c>
      <c r="B145" s="10"/>
      <c r="C145" s="10"/>
      <c r="D145" s="11"/>
      <c r="P145">
        <f>IFERROR(IF(AND($B145&lt;&gt;"",$B145&lt;&gt;"Exterior",COUNTIF($B$6:B145,$B145)=1,COUNTIF($R$6:$R$12,$B145)=0),$B145,""),"")</f>
      </c>
      <c r="Q145">
        <f>IFERROR(IF(AND($C145&lt;&gt;"",$C145&lt;&gt;"Exterior",COUNTIF($C$6:C145,$C145)=1,COUNTIF($R$6:$R$12,$C145)=0,COUNTIF($B$6:$B$505,$C145)=0),$C145,""),"")</f>
      </c>
      <c r="X145">
        <f>IFERROR(ROUND(MAX(0,SUMIFS($D$6:$D145,$C$6:$C145,$B145,$A$6:$A145,"&lt;="&amp;$A145)*MAX(0,IFERROR(1+VLOOKUP($B145,$F$6:$I$19,4,FALSE),IFERROR(1+INDEX($U$6:$U$505,MATCH($B145,$S$6:$S$505,0)),1)))-(SUMIFS($D$6:$D145,$B$6:$B145,$B145,$A$6:$A145,"&lt;="&amp;$A145)-$D145)),2),0)</f>
      </c>
    </row>
    <row r="146" spans="1:24" x14ac:dyDescent="0.25">
      <c r="A146" s="9">
        <v>46317</v>
      </c>
      <c r="B146" s="10"/>
      <c r="C146" s="10"/>
      <c r="D146" s="11"/>
      <c r="P146">
        <f>IFERROR(IF(AND($B146&lt;&gt;"",$B146&lt;&gt;"Exterior",COUNTIF($B$6:B146,$B146)=1,COUNTIF($R$6:$R$12,$B146)=0),$B146,""),"")</f>
      </c>
      <c r="Q146">
        <f>IFERROR(IF(AND($C146&lt;&gt;"",$C146&lt;&gt;"Exterior",COUNTIF($C$6:C146,$C146)=1,COUNTIF($R$6:$R$12,$C146)=0,COUNTIF($B$6:$B$505,$C146)=0),$C146,""),"")</f>
      </c>
      <c r="X146">
        <f>IFERROR(ROUND(MAX(0,SUMIFS($D$6:$D146,$C$6:$C146,$B146,$A$6:$A146,"&lt;="&amp;$A146)*MAX(0,IFERROR(1+VLOOKUP($B146,$F$6:$I$19,4,FALSE),IFERROR(1+INDEX($U$6:$U$505,MATCH($B146,$S$6:$S$505,0)),1)))-(SUMIFS($D$6:$D146,$B$6:$B146,$B146,$A$6:$A146,"&lt;="&amp;$A146)-$D146)),2),0)</f>
      </c>
    </row>
    <row r="147" spans="1:24" x14ac:dyDescent="0.25">
      <c r="A147" s="9">
        <v>46317</v>
      </c>
      <c r="B147" s="10"/>
      <c r="C147" s="10"/>
      <c r="D147" s="11"/>
      <c r="P147">
        <f>IFERROR(IF(AND($B147&lt;&gt;"",$B147&lt;&gt;"Exterior",COUNTIF($B$6:B147,$B147)=1,COUNTIF($R$6:$R$12,$B147)=0),$B147,""),"")</f>
      </c>
      <c r="Q147">
        <f>IFERROR(IF(AND($C147&lt;&gt;"",$C147&lt;&gt;"Exterior",COUNTIF($C$6:C147,$C147)=1,COUNTIF($R$6:$R$12,$C147)=0,COUNTIF($B$6:$B$505,$C147)=0),$C147,""),"")</f>
      </c>
      <c r="X147">
        <f>IFERROR(ROUND(MAX(0,SUMIFS($D$6:$D147,$C$6:$C147,$B147,$A$6:$A147,"&lt;="&amp;$A147)*MAX(0,IFERROR(1+VLOOKUP($B147,$F$6:$I$19,4,FALSE),IFERROR(1+INDEX($U$6:$U$505,MATCH($B147,$S$6:$S$505,0)),1)))-(SUMIFS($D$6:$D147,$B$6:$B147,$B147,$A$6:$A147,"&lt;="&amp;$A147)-$D147)),2),0)</f>
      </c>
    </row>
    <row r="148" spans="1:24" x14ac:dyDescent="0.25">
      <c r="A148" s="9">
        <v>46317</v>
      </c>
      <c r="B148" s="10"/>
      <c r="C148" s="10"/>
      <c r="D148" s="11"/>
      <c r="P148">
        <f>IFERROR(IF(AND($B148&lt;&gt;"",$B148&lt;&gt;"Exterior",COUNTIF($B$6:B148,$B148)=1,COUNTIF($R$6:$R$12,$B148)=0),$B148,""),"")</f>
      </c>
      <c r="Q148">
        <f>IFERROR(IF(AND($C148&lt;&gt;"",$C148&lt;&gt;"Exterior",COUNTIF($C$6:C148,$C148)=1,COUNTIF($R$6:$R$12,$C148)=0,COUNTIF($B$6:$B$505,$C148)=0),$C148,""),"")</f>
      </c>
      <c r="X148">
        <f>IFERROR(ROUND(MAX(0,SUMIFS($D$6:$D148,$C$6:$C148,$B148,$A$6:$A148,"&lt;="&amp;$A148)*MAX(0,IFERROR(1+VLOOKUP($B148,$F$6:$I$19,4,FALSE),IFERROR(1+INDEX($U$6:$U$505,MATCH($B148,$S$6:$S$505,0)),1)))-(SUMIFS($D$6:$D148,$B$6:$B148,$B148,$A$6:$A148,"&lt;="&amp;$A148)-$D148)),2),0)</f>
      </c>
    </row>
    <row r="149" spans="1:24" x14ac:dyDescent="0.25">
      <c r="A149" s="9">
        <v>46317</v>
      </c>
      <c r="B149" s="10"/>
      <c r="C149" s="10"/>
      <c r="D149" s="11"/>
      <c r="P149">
        <f>IFERROR(IF(AND($B149&lt;&gt;"",$B149&lt;&gt;"Exterior",COUNTIF($B$6:B149,$B149)=1,COUNTIF($R$6:$R$12,$B149)=0),$B149,""),"")</f>
      </c>
      <c r="Q149">
        <f>IFERROR(IF(AND($C149&lt;&gt;"",$C149&lt;&gt;"Exterior",COUNTIF($C$6:C149,$C149)=1,COUNTIF($R$6:$R$12,$C149)=0,COUNTIF($B$6:$B$505,$C149)=0),$C149,""),"")</f>
      </c>
      <c r="X149">
        <f>IFERROR(ROUND(MAX(0,SUMIFS($D$6:$D149,$C$6:$C149,$B149,$A$6:$A149,"&lt;="&amp;$A149)*MAX(0,IFERROR(1+VLOOKUP($B149,$F$6:$I$19,4,FALSE),IFERROR(1+INDEX($U$6:$U$505,MATCH($B149,$S$6:$S$505,0)),1)))-(SUMIFS($D$6:$D149,$B$6:$B149,$B149,$A$6:$A149,"&lt;="&amp;$A149)-$D149)),2),0)</f>
      </c>
    </row>
    <row r="150" spans="1:24" x14ac:dyDescent="0.25">
      <c r="A150" s="9">
        <v>46317</v>
      </c>
      <c r="B150" s="10"/>
      <c r="C150" s="10"/>
      <c r="D150" s="11"/>
      <c r="P150">
        <f>IFERROR(IF(AND($B150&lt;&gt;"",$B150&lt;&gt;"Exterior",COUNTIF($B$6:B150,$B150)=1,COUNTIF($R$6:$R$12,$B150)=0),$B150,""),"")</f>
      </c>
      <c r="Q150">
        <f>IFERROR(IF(AND($C150&lt;&gt;"",$C150&lt;&gt;"Exterior",COUNTIF($C$6:C150,$C150)=1,COUNTIF($R$6:$R$12,$C150)=0,COUNTIF($B$6:$B$505,$C150)=0),$C150,""),"")</f>
      </c>
      <c r="X150">
        <f>IFERROR(ROUND(MAX(0,SUMIFS($D$6:$D150,$C$6:$C150,$B150,$A$6:$A150,"&lt;="&amp;$A150)*MAX(0,IFERROR(1+VLOOKUP($B150,$F$6:$I$19,4,FALSE),IFERROR(1+INDEX($U$6:$U$505,MATCH($B150,$S$6:$S$505,0)),1)))-(SUMIFS($D$6:$D150,$B$6:$B150,$B150,$A$6:$A150,"&lt;="&amp;$A150)-$D150)),2),0)</f>
      </c>
    </row>
    <row r="151" spans="1:24" x14ac:dyDescent="0.25">
      <c r="A151" s="9">
        <v>46317</v>
      </c>
      <c r="B151" s="10"/>
      <c r="C151" s="10"/>
      <c r="D151" s="11"/>
      <c r="P151">
        <f>IFERROR(IF(AND($B151&lt;&gt;"",$B151&lt;&gt;"Exterior",COUNTIF($B$6:B151,$B151)=1,COUNTIF($R$6:$R$12,$B151)=0),$B151,""),"")</f>
      </c>
      <c r="Q151">
        <f>IFERROR(IF(AND($C151&lt;&gt;"",$C151&lt;&gt;"Exterior",COUNTIF($C$6:C151,$C151)=1,COUNTIF($R$6:$R$12,$C151)=0,COUNTIF($B$6:$B$505,$C151)=0),$C151,""),"")</f>
      </c>
      <c r="X151">
        <f>IFERROR(ROUND(MAX(0,SUMIFS($D$6:$D151,$C$6:$C151,$B151,$A$6:$A151,"&lt;="&amp;$A151)*MAX(0,IFERROR(1+VLOOKUP($B151,$F$6:$I$19,4,FALSE),IFERROR(1+INDEX($U$6:$U$505,MATCH($B151,$S$6:$S$505,0)),1)))-(SUMIFS($D$6:$D151,$B$6:$B151,$B151,$A$6:$A151,"&lt;="&amp;$A151)-$D151)),2),0)</f>
      </c>
    </row>
    <row r="152" spans="1:24" x14ac:dyDescent="0.25">
      <c r="A152" s="9">
        <v>46317</v>
      </c>
      <c r="B152" s="10"/>
      <c r="C152" s="10"/>
      <c r="D152" s="11"/>
      <c r="P152">
        <f>IFERROR(IF(AND($B152&lt;&gt;"",$B152&lt;&gt;"Exterior",COUNTIF($B$6:B152,$B152)=1,COUNTIF($R$6:$R$12,$B152)=0),$B152,""),"")</f>
      </c>
      <c r="Q152">
        <f>IFERROR(IF(AND($C152&lt;&gt;"",$C152&lt;&gt;"Exterior",COUNTIF($C$6:C152,$C152)=1,COUNTIF($R$6:$R$12,$C152)=0,COUNTIF($B$6:$B$505,$C152)=0),$C152,""),"")</f>
      </c>
      <c r="X152">
        <f>IFERROR(ROUND(MAX(0,SUMIFS($D$6:$D152,$C$6:$C152,$B152,$A$6:$A152,"&lt;="&amp;$A152)*MAX(0,IFERROR(1+VLOOKUP($B152,$F$6:$I$19,4,FALSE),IFERROR(1+INDEX($U$6:$U$505,MATCH($B152,$S$6:$S$505,0)),1)))-(SUMIFS($D$6:$D152,$B$6:$B152,$B152,$A$6:$A152,"&lt;="&amp;$A152)-$D152)),2),0)</f>
      </c>
    </row>
    <row r="153" spans="1:24" x14ac:dyDescent="0.25">
      <c r="A153" s="9">
        <v>46317</v>
      </c>
      <c r="B153" s="10"/>
      <c r="C153" s="10"/>
      <c r="D153" s="11"/>
      <c r="P153">
        <f>IFERROR(IF(AND($B153&lt;&gt;"",$B153&lt;&gt;"Exterior",COUNTIF($B$6:B153,$B153)=1,COUNTIF($R$6:$R$12,$B153)=0),$B153,""),"")</f>
      </c>
      <c r="Q153">
        <f>IFERROR(IF(AND($C153&lt;&gt;"",$C153&lt;&gt;"Exterior",COUNTIF($C$6:C153,$C153)=1,COUNTIF($R$6:$R$12,$C153)=0,COUNTIF($B$6:$B$505,$C153)=0),$C153,""),"")</f>
      </c>
      <c r="X153">
        <f>IFERROR(ROUND(MAX(0,SUMIFS($D$6:$D153,$C$6:$C153,$B153,$A$6:$A153,"&lt;="&amp;$A153)*MAX(0,IFERROR(1+VLOOKUP($B153,$F$6:$I$19,4,FALSE),IFERROR(1+INDEX($U$6:$U$505,MATCH($B153,$S$6:$S$505,0)),1)))-(SUMIFS($D$6:$D153,$B$6:$B153,$B153,$A$6:$A153,"&lt;="&amp;$A153)-$D153)),2),0)</f>
      </c>
    </row>
    <row r="154" spans="1:24" x14ac:dyDescent="0.25">
      <c r="A154" s="9">
        <v>46317</v>
      </c>
      <c r="B154" s="10"/>
      <c r="C154" s="10"/>
      <c r="D154" s="11"/>
      <c r="P154">
        <f>IFERROR(IF(AND($B154&lt;&gt;"",$B154&lt;&gt;"Exterior",COUNTIF($B$6:B154,$B154)=1,COUNTIF($R$6:$R$12,$B154)=0),$B154,""),"")</f>
      </c>
      <c r="Q154">
        <f>IFERROR(IF(AND($C154&lt;&gt;"",$C154&lt;&gt;"Exterior",COUNTIF($C$6:C154,$C154)=1,COUNTIF($R$6:$R$12,$C154)=0,COUNTIF($B$6:$B$505,$C154)=0),$C154,""),"")</f>
      </c>
      <c r="X154">
        <f>IFERROR(ROUND(MAX(0,SUMIFS($D$6:$D154,$C$6:$C154,$B154,$A$6:$A154,"&lt;="&amp;$A154)*MAX(0,IFERROR(1+VLOOKUP($B154,$F$6:$I$19,4,FALSE),IFERROR(1+INDEX($U$6:$U$505,MATCH($B154,$S$6:$S$505,0)),1)))-(SUMIFS($D$6:$D154,$B$6:$B154,$B154,$A$6:$A154,"&lt;="&amp;$A154)-$D154)),2),0)</f>
      </c>
    </row>
    <row r="155" spans="1:24" x14ac:dyDescent="0.25">
      <c r="A155" s="9">
        <v>46317</v>
      </c>
      <c r="B155" s="10"/>
      <c r="C155" s="10"/>
      <c r="D155" s="11"/>
      <c r="P155">
        <f>IFERROR(IF(AND($B155&lt;&gt;"",$B155&lt;&gt;"Exterior",COUNTIF($B$6:B155,$B155)=1,COUNTIF($R$6:$R$12,$B155)=0),$B155,""),"")</f>
      </c>
      <c r="Q155">
        <f>IFERROR(IF(AND($C155&lt;&gt;"",$C155&lt;&gt;"Exterior",COUNTIF($C$6:C155,$C155)=1,COUNTIF($R$6:$R$12,$C155)=0,COUNTIF($B$6:$B$505,$C155)=0),$C155,""),"")</f>
      </c>
      <c r="X155">
        <f>IFERROR(ROUND(MAX(0,SUMIFS($D$6:$D155,$C$6:$C155,$B155,$A$6:$A155,"&lt;="&amp;$A155)*MAX(0,IFERROR(1+VLOOKUP($B155,$F$6:$I$19,4,FALSE),IFERROR(1+INDEX($U$6:$U$505,MATCH($B155,$S$6:$S$505,0)),1)))-(SUMIFS($D$6:$D155,$B$6:$B155,$B155,$A$6:$A155,"&lt;="&amp;$A155)-$D155)),2),0)</f>
      </c>
    </row>
    <row r="156" spans="1:24" x14ac:dyDescent="0.25">
      <c r="A156" s="9">
        <v>46317</v>
      </c>
      <c r="B156" s="10"/>
      <c r="C156" s="10"/>
      <c r="D156" s="11"/>
      <c r="P156">
        <f>IFERROR(IF(AND($B156&lt;&gt;"",$B156&lt;&gt;"Exterior",COUNTIF($B$6:B156,$B156)=1,COUNTIF($R$6:$R$12,$B156)=0),$B156,""),"")</f>
      </c>
      <c r="Q156">
        <f>IFERROR(IF(AND($C156&lt;&gt;"",$C156&lt;&gt;"Exterior",COUNTIF($C$6:C156,$C156)=1,COUNTIF($R$6:$R$12,$C156)=0,COUNTIF($B$6:$B$505,$C156)=0),$C156,""),"")</f>
      </c>
      <c r="X156">
        <f>IFERROR(ROUND(MAX(0,SUMIFS($D$6:$D156,$C$6:$C156,$B156,$A$6:$A156,"&lt;="&amp;$A156)*MAX(0,IFERROR(1+VLOOKUP($B156,$F$6:$I$19,4,FALSE),IFERROR(1+INDEX($U$6:$U$505,MATCH($B156,$S$6:$S$505,0)),1)))-(SUMIFS($D$6:$D156,$B$6:$B156,$B156,$A$6:$A156,"&lt;="&amp;$A156)-$D156)),2),0)</f>
      </c>
    </row>
    <row r="157" spans="1:24" x14ac:dyDescent="0.25">
      <c r="A157" s="9">
        <v>46317</v>
      </c>
      <c r="B157" s="10"/>
      <c r="C157" s="10"/>
      <c r="D157" s="11"/>
      <c r="P157">
        <f>IFERROR(IF(AND($B157&lt;&gt;"",$B157&lt;&gt;"Exterior",COUNTIF($B$6:B157,$B157)=1,COUNTIF($R$6:$R$12,$B157)=0),$B157,""),"")</f>
      </c>
      <c r="Q157">
        <f>IFERROR(IF(AND($C157&lt;&gt;"",$C157&lt;&gt;"Exterior",COUNTIF($C$6:C157,$C157)=1,COUNTIF($R$6:$R$12,$C157)=0,COUNTIF($B$6:$B$505,$C157)=0),$C157,""),"")</f>
      </c>
      <c r="X157">
        <f>IFERROR(ROUND(MAX(0,SUMIFS($D$6:$D157,$C$6:$C157,$B157,$A$6:$A157,"&lt;="&amp;$A157)*MAX(0,IFERROR(1+VLOOKUP($B157,$F$6:$I$19,4,FALSE),IFERROR(1+INDEX($U$6:$U$505,MATCH($B157,$S$6:$S$505,0)),1)))-(SUMIFS($D$6:$D157,$B$6:$B157,$B157,$A$6:$A157,"&lt;="&amp;$A157)-$D157)),2),0)</f>
      </c>
    </row>
    <row r="158" spans="1:24" x14ac:dyDescent="0.25">
      <c r="A158" s="9">
        <v>46317</v>
      </c>
      <c r="B158" s="10"/>
      <c r="C158" s="10"/>
      <c r="D158" s="11"/>
      <c r="P158">
        <f>IFERROR(IF(AND($B158&lt;&gt;"",$B158&lt;&gt;"Exterior",COUNTIF($B$6:B158,$B158)=1,COUNTIF($R$6:$R$12,$B158)=0),$B158,""),"")</f>
      </c>
      <c r="Q158">
        <f>IFERROR(IF(AND($C158&lt;&gt;"",$C158&lt;&gt;"Exterior",COUNTIF($C$6:C158,$C158)=1,COUNTIF($R$6:$R$12,$C158)=0,COUNTIF($B$6:$B$505,$C158)=0),$C158,""),"")</f>
      </c>
      <c r="X158">
        <f>IFERROR(ROUND(MAX(0,SUMIFS($D$6:$D158,$C$6:$C158,$B158,$A$6:$A158,"&lt;="&amp;$A158)*MAX(0,IFERROR(1+VLOOKUP($B158,$F$6:$I$19,4,FALSE),IFERROR(1+INDEX($U$6:$U$505,MATCH($B158,$S$6:$S$505,0)),1)))-(SUMIFS($D$6:$D158,$B$6:$B158,$B158,$A$6:$A158,"&lt;="&amp;$A158)-$D158)),2),0)</f>
      </c>
    </row>
    <row r="159" spans="1:24" x14ac:dyDescent="0.25">
      <c r="A159" s="9">
        <v>46317</v>
      </c>
      <c r="B159" s="10"/>
      <c r="C159" s="10"/>
      <c r="D159" s="11"/>
      <c r="P159">
        <f>IFERROR(IF(AND($B159&lt;&gt;"",$B159&lt;&gt;"Exterior",COUNTIF($B$6:B159,$B159)=1,COUNTIF($R$6:$R$12,$B159)=0),$B159,""),"")</f>
      </c>
      <c r="Q159">
        <f>IFERROR(IF(AND($C159&lt;&gt;"",$C159&lt;&gt;"Exterior",COUNTIF($C$6:C159,$C159)=1,COUNTIF($R$6:$R$12,$C159)=0,COUNTIF($B$6:$B$505,$C159)=0),$C159,""),"")</f>
      </c>
      <c r="X159">
        <f>IFERROR(ROUND(MAX(0,SUMIFS($D$6:$D159,$C$6:$C159,$B159,$A$6:$A159,"&lt;="&amp;$A159)*MAX(0,IFERROR(1+VLOOKUP($B159,$F$6:$I$19,4,FALSE),IFERROR(1+INDEX($U$6:$U$505,MATCH($B159,$S$6:$S$505,0)),1)))-(SUMIFS($D$6:$D159,$B$6:$B159,$B159,$A$6:$A159,"&lt;="&amp;$A159)-$D159)),2),0)</f>
      </c>
    </row>
    <row r="160" spans="1:24" x14ac:dyDescent="0.25">
      <c r="A160" s="9">
        <v>46317</v>
      </c>
      <c r="B160" s="10"/>
      <c r="C160" s="10"/>
      <c r="D160" s="11"/>
      <c r="P160">
        <f>IFERROR(IF(AND($B160&lt;&gt;"",$B160&lt;&gt;"Exterior",COUNTIF($B$6:B160,$B160)=1,COUNTIF($R$6:$R$12,$B160)=0),$B160,""),"")</f>
      </c>
      <c r="Q160">
        <f>IFERROR(IF(AND($C160&lt;&gt;"",$C160&lt;&gt;"Exterior",COUNTIF($C$6:C160,$C160)=1,COUNTIF($R$6:$R$12,$C160)=0,COUNTIF($B$6:$B$505,$C160)=0),$C160,""),"")</f>
      </c>
      <c r="X160">
        <f>IFERROR(ROUND(MAX(0,SUMIFS($D$6:$D160,$C$6:$C160,$B160,$A$6:$A160,"&lt;="&amp;$A160)*MAX(0,IFERROR(1+VLOOKUP($B160,$F$6:$I$19,4,FALSE),IFERROR(1+INDEX($U$6:$U$505,MATCH($B160,$S$6:$S$505,0)),1)))-(SUMIFS($D$6:$D160,$B$6:$B160,$B160,$A$6:$A160,"&lt;="&amp;$A160)-$D160)),2),0)</f>
      </c>
    </row>
    <row r="161" spans="1:24" x14ac:dyDescent="0.25">
      <c r="A161" s="9">
        <v>46317</v>
      </c>
      <c r="B161" s="10"/>
      <c r="C161" s="10"/>
      <c r="D161" s="11"/>
      <c r="P161">
        <f>IFERROR(IF(AND($B161&lt;&gt;"",$B161&lt;&gt;"Exterior",COUNTIF($B$6:B161,$B161)=1,COUNTIF($R$6:$R$12,$B161)=0),$B161,""),"")</f>
      </c>
      <c r="Q161">
        <f>IFERROR(IF(AND($C161&lt;&gt;"",$C161&lt;&gt;"Exterior",COUNTIF($C$6:C161,$C161)=1,COUNTIF($R$6:$R$12,$C161)=0,COUNTIF($B$6:$B$505,$C161)=0),$C161,""),"")</f>
      </c>
      <c r="X161">
        <f>IFERROR(ROUND(MAX(0,SUMIFS($D$6:$D161,$C$6:$C161,$B161,$A$6:$A161,"&lt;="&amp;$A161)*MAX(0,IFERROR(1+VLOOKUP($B161,$F$6:$I$19,4,FALSE),IFERROR(1+INDEX($U$6:$U$505,MATCH($B161,$S$6:$S$505,0)),1)))-(SUMIFS($D$6:$D161,$B$6:$B161,$B161,$A$6:$A161,"&lt;="&amp;$A161)-$D161)),2),0)</f>
      </c>
    </row>
    <row r="162" spans="1:24" x14ac:dyDescent="0.25">
      <c r="A162" s="9">
        <v>46317</v>
      </c>
      <c r="B162" s="10"/>
      <c r="C162" s="10"/>
      <c r="D162" s="11"/>
      <c r="P162">
        <f>IFERROR(IF(AND($B162&lt;&gt;"",$B162&lt;&gt;"Exterior",COUNTIF($B$6:B162,$B162)=1,COUNTIF($R$6:$R$12,$B162)=0),$B162,""),"")</f>
      </c>
      <c r="Q162">
        <f>IFERROR(IF(AND($C162&lt;&gt;"",$C162&lt;&gt;"Exterior",COUNTIF($C$6:C162,$C162)=1,COUNTIF($R$6:$R$12,$C162)=0,COUNTIF($B$6:$B$505,$C162)=0),$C162,""),"")</f>
      </c>
      <c r="X162">
        <f>IFERROR(ROUND(MAX(0,SUMIFS($D$6:$D162,$C$6:$C162,$B162,$A$6:$A162,"&lt;="&amp;$A162)*MAX(0,IFERROR(1+VLOOKUP($B162,$F$6:$I$19,4,FALSE),IFERROR(1+INDEX($U$6:$U$505,MATCH($B162,$S$6:$S$505,0)),1)))-(SUMIFS($D$6:$D162,$B$6:$B162,$B162,$A$6:$A162,"&lt;="&amp;$A162)-$D162)),2),0)</f>
      </c>
    </row>
    <row r="163" spans="1:24" x14ac:dyDescent="0.25">
      <c r="A163" s="9">
        <v>46317</v>
      </c>
      <c r="B163" s="10"/>
      <c r="C163" s="10"/>
      <c r="D163" s="11"/>
      <c r="P163">
        <f>IFERROR(IF(AND($B163&lt;&gt;"",$B163&lt;&gt;"Exterior",COUNTIF($B$6:B163,$B163)=1,COUNTIF($R$6:$R$12,$B163)=0),$B163,""),"")</f>
      </c>
      <c r="Q163">
        <f>IFERROR(IF(AND($C163&lt;&gt;"",$C163&lt;&gt;"Exterior",COUNTIF($C$6:C163,$C163)=1,COUNTIF($R$6:$R$12,$C163)=0,COUNTIF($B$6:$B$505,$C163)=0),$C163,""),"")</f>
      </c>
      <c r="X163">
        <f>IFERROR(ROUND(MAX(0,SUMIFS($D$6:$D163,$C$6:$C163,$B163,$A$6:$A163,"&lt;="&amp;$A163)*MAX(0,IFERROR(1+VLOOKUP($B163,$F$6:$I$19,4,FALSE),IFERROR(1+INDEX($U$6:$U$505,MATCH($B163,$S$6:$S$505,0)),1)))-(SUMIFS($D$6:$D163,$B$6:$B163,$B163,$A$6:$A163,"&lt;="&amp;$A163)-$D163)),2),0)</f>
      </c>
    </row>
    <row r="164" spans="1:24" x14ac:dyDescent="0.25">
      <c r="A164" s="9">
        <v>46317</v>
      </c>
      <c r="B164" s="10"/>
      <c r="C164" s="10"/>
      <c r="D164" s="11"/>
      <c r="P164">
        <f>IFERROR(IF(AND($B164&lt;&gt;"",$B164&lt;&gt;"Exterior",COUNTIF($B$6:B164,$B164)=1,COUNTIF($R$6:$R$12,$B164)=0),$B164,""),"")</f>
      </c>
      <c r="Q164">
        <f>IFERROR(IF(AND($C164&lt;&gt;"",$C164&lt;&gt;"Exterior",COUNTIF($C$6:C164,$C164)=1,COUNTIF($R$6:$R$12,$C164)=0,COUNTIF($B$6:$B$505,$C164)=0),$C164,""),"")</f>
      </c>
      <c r="X164">
        <f>IFERROR(ROUND(MAX(0,SUMIFS($D$6:$D164,$C$6:$C164,$B164,$A$6:$A164,"&lt;="&amp;$A164)*MAX(0,IFERROR(1+VLOOKUP($B164,$F$6:$I$19,4,FALSE),IFERROR(1+INDEX($U$6:$U$505,MATCH($B164,$S$6:$S$505,0)),1)))-(SUMIFS($D$6:$D164,$B$6:$B164,$B164,$A$6:$A164,"&lt;="&amp;$A164)-$D164)),2),0)</f>
      </c>
    </row>
    <row r="165" spans="1:24" x14ac:dyDescent="0.25">
      <c r="A165" s="9">
        <v>46317</v>
      </c>
      <c r="B165" s="10"/>
      <c r="C165" s="10"/>
      <c r="D165" s="11"/>
      <c r="P165">
        <f>IFERROR(IF(AND($B165&lt;&gt;"",$B165&lt;&gt;"Exterior",COUNTIF($B$6:B165,$B165)=1,COUNTIF($R$6:$R$12,$B165)=0),$B165,""),"")</f>
      </c>
      <c r="Q165">
        <f>IFERROR(IF(AND($C165&lt;&gt;"",$C165&lt;&gt;"Exterior",COUNTIF($C$6:C165,$C165)=1,COUNTIF($R$6:$R$12,$C165)=0,COUNTIF($B$6:$B$505,$C165)=0),$C165,""),"")</f>
      </c>
      <c r="X165">
        <f>IFERROR(ROUND(MAX(0,SUMIFS($D$6:$D165,$C$6:$C165,$B165,$A$6:$A165,"&lt;="&amp;$A165)*MAX(0,IFERROR(1+VLOOKUP($B165,$F$6:$I$19,4,FALSE),IFERROR(1+INDEX($U$6:$U$505,MATCH($B165,$S$6:$S$505,0)),1)))-(SUMIFS($D$6:$D165,$B$6:$B165,$B165,$A$6:$A165,"&lt;="&amp;$A165)-$D165)),2),0)</f>
      </c>
    </row>
    <row r="166" spans="1:24" x14ac:dyDescent="0.25">
      <c r="A166" s="9">
        <v>46317</v>
      </c>
      <c r="B166" s="10"/>
      <c r="C166" s="10"/>
      <c r="D166" s="11"/>
      <c r="P166">
        <f>IFERROR(IF(AND($B166&lt;&gt;"",$B166&lt;&gt;"Exterior",COUNTIF($B$6:B166,$B166)=1,COUNTIF($R$6:$R$12,$B166)=0),$B166,""),"")</f>
      </c>
      <c r="Q166">
        <f>IFERROR(IF(AND($C166&lt;&gt;"",$C166&lt;&gt;"Exterior",COUNTIF($C$6:C166,$C166)=1,COUNTIF($R$6:$R$12,$C166)=0,COUNTIF($B$6:$B$505,$C166)=0),$C166,""),"")</f>
      </c>
      <c r="X166">
        <f>IFERROR(ROUND(MAX(0,SUMIFS($D$6:$D166,$C$6:$C166,$B166,$A$6:$A166,"&lt;="&amp;$A166)*MAX(0,IFERROR(1+VLOOKUP($B166,$F$6:$I$19,4,FALSE),IFERROR(1+INDEX($U$6:$U$505,MATCH($B166,$S$6:$S$505,0)),1)))-(SUMIFS($D$6:$D166,$B$6:$B166,$B166,$A$6:$A166,"&lt;="&amp;$A166)-$D166)),2),0)</f>
      </c>
    </row>
    <row r="167" spans="1:24" x14ac:dyDescent="0.25">
      <c r="A167" s="9">
        <v>46317</v>
      </c>
      <c r="B167" s="10"/>
      <c r="C167" s="10"/>
      <c r="D167" s="11"/>
      <c r="P167">
        <f>IFERROR(IF(AND($B167&lt;&gt;"",$B167&lt;&gt;"Exterior",COUNTIF($B$6:B167,$B167)=1,COUNTIF($R$6:$R$12,$B167)=0),$B167,""),"")</f>
      </c>
      <c r="Q167">
        <f>IFERROR(IF(AND($C167&lt;&gt;"",$C167&lt;&gt;"Exterior",COUNTIF($C$6:C167,$C167)=1,COUNTIF($R$6:$R$12,$C167)=0,COUNTIF($B$6:$B$505,$C167)=0),$C167,""),"")</f>
      </c>
      <c r="X167">
        <f>IFERROR(ROUND(MAX(0,SUMIFS($D$6:$D167,$C$6:$C167,$B167,$A$6:$A167,"&lt;="&amp;$A167)*MAX(0,IFERROR(1+VLOOKUP($B167,$F$6:$I$19,4,FALSE),IFERROR(1+INDEX($U$6:$U$505,MATCH($B167,$S$6:$S$505,0)),1)))-(SUMIFS($D$6:$D167,$B$6:$B167,$B167,$A$6:$A167,"&lt;="&amp;$A167)-$D167)),2),0)</f>
      </c>
    </row>
    <row r="168" spans="1:24" x14ac:dyDescent="0.25">
      <c r="A168" s="9">
        <v>46317</v>
      </c>
      <c r="B168" s="10"/>
      <c r="C168" s="10"/>
      <c r="D168" s="11"/>
      <c r="P168">
        <f>IFERROR(IF(AND($B168&lt;&gt;"",$B168&lt;&gt;"Exterior",COUNTIF($B$6:B168,$B168)=1,COUNTIF($R$6:$R$12,$B168)=0),$B168,""),"")</f>
      </c>
      <c r="Q168">
        <f>IFERROR(IF(AND($C168&lt;&gt;"",$C168&lt;&gt;"Exterior",COUNTIF($C$6:C168,$C168)=1,COUNTIF($R$6:$R$12,$C168)=0,COUNTIF($B$6:$B$505,$C168)=0),$C168,""),"")</f>
      </c>
      <c r="X168">
        <f>IFERROR(ROUND(MAX(0,SUMIFS($D$6:$D168,$C$6:$C168,$B168,$A$6:$A168,"&lt;="&amp;$A168)*MAX(0,IFERROR(1+VLOOKUP($B168,$F$6:$I$19,4,FALSE),IFERROR(1+INDEX($U$6:$U$505,MATCH($B168,$S$6:$S$505,0)),1)))-(SUMIFS($D$6:$D168,$B$6:$B168,$B168,$A$6:$A168,"&lt;="&amp;$A168)-$D168)),2),0)</f>
      </c>
    </row>
    <row r="169" spans="1:24" x14ac:dyDescent="0.25">
      <c r="A169" s="9">
        <v>46317</v>
      </c>
      <c r="B169" s="10"/>
      <c r="C169" s="10"/>
      <c r="D169" s="11"/>
      <c r="P169">
        <f>IFERROR(IF(AND($B169&lt;&gt;"",$B169&lt;&gt;"Exterior",COUNTIF($B$6:B169,$B169)=1,COUNTIF($R$6:$R$12,$B169)=0),$B169,""),"")</f>
      </c>
      <c r="Q169">
        <f>IFERROR(IF(AND($C169&lt;&gt;"",$C169&lt;&gt;"Exterior",COUNTIF($C$6:C169,$C169)=1,COUNTIF($R$6:$R$12,$C169)=0,COUNTIF($B$6:$B$505,$C169)=0),$C169,""),"")</f>
      </c>
      <c r="X169">
        <f>IFERROR(ROUND(MAX(0,SUMIFS($D$6:$D169,$C$6:$C169,$B169,$A$6:$A169,"&lt;="&amp;$A169)*MAX(0,IFERROR(1+VLOOKUP($B169,$F$6:$I$19,4,FALSE),IFERROR(1+INDEX($U$6:$U$505,MATCH($B169,$S$6:$S$505,0)),1)))-(SUMIFS($D$6:$D169,$B$6:$B169,$B169,$A$6:$A169,"&lt;="&amp;$A169)-$D169)),2),0)</f>
      </c>
    </row>
    <row r="170" spans="1:24" x14ac:dyDescent="0.25">
      <c r="A170" s="9">
        <v>46317</v>
      </c>
      <c r="B170" s="10"/>
      <c r="C170" s="10"/>
      <c r="D170" s="11"/>
      <c r="P170">
        <f>IFERROR(IF(AND($B170&lt;&gt;"",$B170&lt;&gt;"Exterior",COUNTIF($B$6:B170,$B170)=1,COUNTIF($R$6:$R$12,$B170)=0),$B170,""),"")</f>
      </c>
      <c r="Q170">
        <f>IFERROR(IF(AND($C170&lt;&gt;"",$C170&lt;&gt;"Exterior",COUNTIF($C$6:C170,$C170)=1,COUNTIF($R$6:$R$12,$C170)=0,COUNTIF($B$6:$B$505,$C170)=0),$C170,""),"")</f>
      </c>
      <c r="X170">
        <f>IFERROR(ROUND(MAX(0,SUMIFS($D$6:$D170,$C$6:$C170,$B170,$A$6:$A170,"&lt;="&amp;$A170)*MAX(0,IFERROR(1+VLOOKUP($B170,$F$6:$I$19,4,FALSE),IFERROR(1+INDEX($U$6:$U$505,MATCH($B170,$S$6:$S$505,0)),1)))-(SUMIFS($D$6:$D170,$B$6:$B170,$B170,$A$6:$A170,"&lt;="&amp;$A170)-$D170)),2),0)</f>
      </c>
    </row>
    <row r="171" spans="1:24" x14ac:dyDescent="0.25">
      <c r="A171" s="9">
        <v>46317</v>
      </c>
      <c r="B171" s="10"/>
      <c r="C171" s="10"/>
      <c r="D171" s="11"/>
      <c r="P171">
        <f>IFERROR(IF(AND($B171&lt;&gt;"",$B171&lt;&gt;"Exterior",COUNTIF($B$6:B171,$B171)=1,COUNTIF($R$6:$R$12,$B171)=0),$B171,""),"")</f>
      </c>
      <c r="Q171">
        <f>IFERROR(IF(AND($C171&lt;&gt;"",$C171&lt;&gt;"Exterior",COUNTIF($C$6:C171,$C171)=1,COUNTIF($R$6:$R$12,$C171)=0,COUNTIF($B$6:$B$505,$C171)=0),$C171,""),"")</f>
      </c>
      <c r="X171">
        <f>IFERROR(ROUND(MAX(0,SUMIFS($D$6:$D171,$C$6:$C171,$B171,$A$6:$A171,"&lt;="&amp;$A171)*MAX(0,IFERROR(1+VLOOKUP($B171,$F$6:$I$19,4,FALSE),IFERROR(1+INDEX($U$6:$U$505,MATCH($B171,$S$6:$S$505,0)),1)))-(SUMIFS($D$6:$D171,$B$6:$B171,$B171,$A$6:$A171,"&lt;="&amp;$A171)-$D171)),2),0)</f>
      </c>
    </row>
    <row r="172" spans="1:24" x14ac:dyDescent="0.25">
      <c r="A172" s="9">
        <v>46317</v>
      </c>
      <c r="B172" s="10"/>
      <c r="C172" s="10"/>
      <c r="D172" s="11"/>
      <c r="P172">
        <f>IFERROR(IF(AND($B172&lt;&gt;"",$B172&lt;&gt;"Exterior",COUNTIF($B$6:B172,$B172)=1,COUNTIF($R$6:$R$12,$B172)=0),$B172,""),"")</f>
      </c>
      <c r="Q172">
        <f>IFERROR(IF(AND($C172&lt;&gt;"",$C172&lt;&gt;"Exterior",COUNTIF($C$6:C172,$C172)=1,COUNTIF($R$6:$R$12,$C172)=0,COUNTIF($B$6:$B$505,$C172)=0),$C172,""),"")</f>
      </c>
      <c r="X172">
        <f>IFERROR(ROUND(MAX(0,SUMIFS($D$6:$D172,$C$6:$C172,$B172,$A$6:$A172,"&lt;="&amp;$A172)*MAX(0,IFERROR(1+VLOOKUP($B172,$F$6:$I$19,4,FALSE),IFERROR(1+INDEX($U$6:$U$505,MATCH($B172,$S$6:$S$505,0)),1)))-(SUMIFS($D$6:$D172,$B$6:$B172,$B172,$A$6:$A172,"&lt;="&amp;$A172)-$D172)),2),0)</f>
      </c>
    </row>
    <row r="173" spans="1:24" x14ac:dyDescent="0.25">
      <c r="A173" s="9">
        <v>46317</v>
      </c>
      <c r="B173" s="10"/>
      <c r="C173" s="10"/>
      <c r="D173" s="11"/>
      <c r="P173">
        <f>IFERROR(IF(AND($B173&lt;&gt;"",$B173&lt;&gt;"Exterior",COUNTIF($B$6:B173,$B173)=1,COUNTIF($R$6:$R$12,$B173)=0),$B173,""),"")</f>
      </c>
      <c r="Q173">
        <f>IFERROR(IF(AND($C173&lt;&gt;"",$C173&lt;&gt;"Exterior",COUNTIF($C$6:C173,$C173)=1,COUNTIF($R$6:$R$12,$C173)=0,COUNTIF($B$6:$B$505,$C173)=0),$C173,""),"")</f>
      </c>
      <c r="X173">
        <f>IFERROR(ROUND(MAX(0,SUMIFS($D$6:$D173,$C$6:$C173,$B173,$A$6:$A173,"&lt;="&amp;$A173)*MAX(0,IFERROR(1+VLOOKUP($B173,$F$6:$I$19,4,FALSE),IFERROR(1+INDEX($U$6:$U$505,MATCH($B173,$S$6:$S$505,0)),1)))-(SUMIFS($D$6:$D173,$B$6:$B173,$B173,$A$6:$A173,"&lt;="&amp;$A173)-$D173)),2),0)</f>
      </c>
    </row>
    <row r="174" spans="1:24" x14ac:dyDescent="0.25">
      <c r="A174" s="9">
        <v>46317</v>
      </c>
      <c r="B174" s="10"/>
      <c r="C174" s="10"/>
      <c r="D174" s="11"/>
      <c r="P174">
        <f>IFERROR(IF(AND($B174&lt;&gt;"",$B174&lt;&gt;"Exterior",COUNTIF($B$6:B174,$B174)=1,COUNTIF($R$6:$R$12,$B174)=0),$B174,""),"")</f>
      </c>
      <c r="Q174">
        <f>IFERROR(IF(AND($C174&lt;&gt;"",$C174&lt;&gt;"Exterior",COUNTIF($C$6:C174,$C174)=1,COUNTIF($R$6:$R$12,$C174)=0,COUNTIF($B$6:$B$505,$C174)=0),$C174,""),"")</f>
      </c>
      <c r="X174">
        <f>IFERROR(ROUND(MAX(0,SUMIFS($D$6:$D174,$C$6:$C174,$B174,$A$6:$A174,"&lt;="&amp;$A174)*MAX(0,IFERROR(1+VLOOKUP($B174,$F$6:$I$19,4,FALSE),IFERROR(1+INDEX($U$6:$U$505,MATCH($B174,$S$6:$S$505,0)),1)))-(SUMIFS($D$6:$D174,$B$6:$B174,$B174,$A$6:$A174,"&lt;="&amp;$A174)-$D174)),2),0)</f>
      </c>
    </row>
    <row r="175" spans="1:24" x14ac:dyDescent="0.25">
      <c r="A175" s="9">
        <v>46317</v>
      </c>
      <c r="B175" s="10"/>
      <c r="C175" s="10"/>
      <c r="D175" s="11"/>
      <c r="P175">
        <f>IFERROR(IF(AND($B175&lt;&gt;"",$B175&lt;&gt;"Exterior",COUNTIF($B$6:B175,$B175)=1,COUNTIF($R$6:$R$12,$B175)=0),$B175,""),"")</f>
      </c>
      <c r="Q175">
        <f>IFERROR(IF(AND($C175&lt;&gt;"",$C175&lt;&gt;"Exterior",COUNTIF($C$6:C175,$C175)=1,COUNTIF($R$6:$R$12,$C175)=0,COUNTIF($B$6:$B$505,$C175)=0),$C175,""),"")</f>
      </c>
      <c r="X175">
        <f>IFERROR(ROUND(MAX(0,SUMIFS($D$6:$D175,$C$6:$C175,$B175,$A$6:$A175,"&lt;="&amp;$A175)*MAX(0,IFERROR(1+VLOOKUP($B175,$F$6:$I$19,4,FALSE),IFERROR(1+INDEX($U$6:$U$505,MATCH($B175,$S$6:$S$505,0)),1)))-(SUMIFS($D$6:$D175,$B$6:$B175,$B175,$A$6:$A175,"&lt;="&amp;$A175)-$D175)),2),0)</f>
      </c>
    </row>
    <row r="176" spans="1:24" x14ac:dyDescent="0.25">
      <c r="A176" s="9">
        <v>46317</v>
      </c>
      <c r="B176" s="10"/>
      <c r="C176" s="10"/>
      <c r="D176" s="11"/>
      <c r="P176">
        <f>IFERROR(IF(AND($B176&lt;&gt;"",$B176&lt;&gt;"Exterior",COUNTIF($B$6:B176,$B176)=1,COUNTIF($R$6:$R$12,$B176)=0),$B176,""),"")</f>
      </c>
      <c r="Q176">
        <f>IFERROR(IF(AND($C176&lt;&gt;"",$C176&lt;&gt;"Exterior",COUNTIF($C$6:C176,$C176)=1,COUNTIF($R$6:$R$12,$C176)=0,COUNTIF($B$6:$B$505,$C176)=0),$C176,""),"")</f>
      </c>
      <c r="X176">
        <f>IFERROR(ROUND(MAX(0,SUMIFS($D$6:$D176,$C$6:$C176,$B176,$A$6:$A176,"&lt;="&amp;$A176)*MAX(0,IFERROR(1+VLOOKUP($B176,$F$6:$I$19,4,FALSE),IFERROR(1+INDEX($U$6:$U$505,MATCH($B176,$S$6:$S$505,0)),1)))-(SUMIFS($D$6:$D176,$B$6:$B176,$B176,$A$6:$A176,"&lt;="&amp;$A176)-$D176)),2),0)</f>
      </c>
    </row>
    <row r="177" spans="1:24" x14ac:dyDescent="0.25">
      <c r="A177" s="9">
        <v>46317</v>
      </c>
      <c r="B177" s="10"/>
      <c r="C177" s="10"/>
      <c r="D177" s="11"/>
      <c r="P177">
        <f>IFERROR(IF(AND($B177&lt;&gt;"",$B177&lt;&gt;"Exterior",COUNTIF($B$6:B177,$B177)=1,COUNTIF($R$6:$R$12,$B177)=0),$B177,""),"")</f>
      </c>
      <c r="Q177">
        <f>IFERROR(IF(AND($C177&lt;&gt;"",$C177&lt;&gt;"Exterior",COUNTIF($C$6:C177,$C177)=1,COUNTIF($R$6:$R$12,$C177)=0,COUNTIF($B$6:$B$505,$C177)=0),$C177,""),"")</f>
      </c>
      <c r="X177">
        <f>IFERROR(ROUND(MAX(0,SUMIFS($D$6:$D177,$C$6:$C177,$B177,$A$6:$A177,"&lt;="&amp;$A177)*MAX(0,IFERROR(1+VLOOKUP($B177,$F$6:$I$19,4,FALSE),IFERROR(1+INDEX($U$6:$U$505,MATCH($B177,$S$6:$S$505,0)),1)))-(SUMIFS($D$6:$D177,$B$6:$B177,$B177,$A$6:$A177,"&lt;="&amp;$A177)-$D177)),2),0)</f>
      </c>
    </row>
    <row r="178" spans="1:24" x14ac:dyDescent="0.25">
      <c r="A178" s="9">
        <v>46317</v>
      </c>
      <c r="B178" s="10"/>
      <c r="C178" s="10"/>
      <c r="D178" s="11"/>
      <c r="P178">
        <f>IFERROR(IF(AND($B178&lt;&gt;"",$B178&lt;&gt;"Exterior",COUNTIF($B$6:B178,$B178)=1,COUNTIF($R$6:$R$12,$B178)=0),$B178,""),"")</f>
      </c>
      <c r="Q178">
        <f>IFERROR(IF(AND($C178&lt;&gt;"",$C178&lt;&gt;"Exterior",COUNTIF($C$6:C178,$C178)=1,COUNTIF($R$6:$R$12,$C178)=0,COUNTIF($B$6:$B$505,$C178)=0),$C178,""),"")</f>
      </c>
      <c r="X178">
        <f>IFERROR(ROUND(MAX(0,SUMIFS($D$6:$D178,$C$6:$C178,$B178,$A$6:$A178,"&lt;="&amp;$A178)*MAX(0,IFERROR(1+VLOOKUP($B178,$F$6:$I$19,4,FALSE),IFERROR(1+INDEX($U$6:$U$505,MATCH($B178,$S$6:$S$505,0)),1)))-(SUMIFS($D$6:$D178,$B$6:$B178,$B178,$A$6:$A178,"&lt;="&amp;$A178)-$D178)),2),0)</f>
      </c>
    </row>
    <row r="179" spans="1:24" x14ac:dyDescent="0.25">
      <c r="A179" s="9">
        <v>46317</v>
      </c>
      <c r="B179" s="10"/>
      <c r="C179" s="10"/>
      <c r="D179" s="11"/>
      <c r="P179">
        <f>IFERROR(IF(AND($B179&lt;&gt;"",$B179&lt;&gt;"Exterior",COUNTIF($B$6:B179,$B179)=1,COUNTIF($R$6:$R$12,$B179)=0),$B179,""),"")</f>
      </c>
      <c r="Q179">
        <f>IFERROR(IF(AND($C179&lt;&gt;"",$C179&lt;&gt;"Exterior",COUNTIF($C$6:C179,$C179)=1,COUNTIF($R$6:$R$12,$C179)=0,COUNTIF($B$6:$B$505,$C179)=0),$C179,""),"")</f>
      </c>
      <c r="X179">
        <f>IFERROR(ROUND(MAX(0,SUMIFS($D$6:$D179,$C$6:$C179,$B179,$A$6:$A179,"&lt;="&amp;$A179)*MAX(0,IFERROR(1+VLOOKUP($B179,$F$6:$I$19,4,FALSE),IFERROR(1+INDEX($U$6:$U$505,MATCH($B179,$S$6:$S$505,0)),1)))-(SUMIFS($D$6:$D179,$B$6:$B179,$B179,$A$6:$A179,"&lt;="&amp;$A179)-$D179)),2),0)</f>
      </c>
    </row>
    <row r="180" spans="1:24" x14ac:dyDescent="0.25">
      <c r="A180" s="9">
        <v>46317</v>
      </c>
      <c r="B180" s="10"/>
      <c r="C180" s="10"/>
      <c r="D180" s="11"/>
      <c r="P180">
        <f>IFERROR(IF(AND($B180&lt;&gt;"",$B180&lt;&gt;"Exterior",COUNTIF($B$6:B180,$B180)=1,COUNTIF($R$6:$R$12,$B180)=0),$B180,""),"")</f>
      </c>
      <c r="Q180">
        <f>IFERROR(IF(AND($C180&lt;&gt;"",$C180&lt;&gt;"Exterior",COUNTIF($C$6:C180,$C180)=1,COUNTIF($R$6:$R$12,$C180)=0,COUNTIF($B$6:$B$505,$C180)=0),$C180,""),"")</f>
      </c>
      <c r="X180">
        <f>IFERROR(ROUND(MAX(0,SUMIFS($D$6:$D180,$C$6:$C180,$B180,$A$6:$A180,"&lt;="&amp;$A180)*MAX(0,IFERROR(1+VLOOKUP($B180,$F$6:$I$19,4,FALSE),IFERROR(1+INDEX($U$6:$U$505,MATCH($B180,$S$6:$S$505,0)),1)))-(SUMIFS($D$6:$D180,$B$6:$B180,$B180,$A$6:$A180,"&lt;="&amp;$A180)-$D180)),2),0)</f>
      </c>
    </row>
    <row r="181" spans="1:24" x14ac:dyDescent="0.25">
      <c r="A181" s="9">
        <v>46317</v>
      </c>
      <c r="B181" s="10"/>
      <c r="C181" s="10"/>
      <c r="D181" s="11"/>
      <c r="P181">
        <f>IFERROR(IF(AND($B181&lt;&gt;"",$B181&lt;&gt;"Exterior",COUNTIF($B$6:B181,$B181)=1,COUNTIF($R$6:$R$12,$B181)=0),$B181,""),"")</f>
      </c>
      <c r="Q181">
        <f>IFERROR(IF(AND($C181&lt;&gt;"",$C181&lt;&gt;"Exterior",COUNTIF($C$6:C181,$C181)=1,COUNTIF($R$6:$R$12,$C181)=0,COUNTIF($B$6:$B$505,$C181)=0),$C181,""),"")</f>
      </c>
      <c r="X181">
        <f>IFERROR(ROUND(MAX(0,SUMIFS($D$6:$D181,$C$6:$C181,$B181,$A$6:$A181,"&lt;="&amp;$A181)*MAX(0,IFERROR(1+VLOOKUP($B181,$F$6:$I$19,4,FALSE),IFERROR(1+INDEX($U$6:$U$505,MATCH($B181,$S$6:$S$505,0)),1)))-(SUMIFS($D$6:$D181,$B$6:$B181,$B181,$A$6:$A181,"&lt;="&amp;$A181)-$D181)),2),0)</f>
      </c>
    </row>
    <row r="182" spans="1:24" x14ac:dyDescent="0.25">
      <c r="A182" s="9">
        <v>46317</v>
      </c>
      <c r="B182" s="10"/>
      <c r="C182" s="10"/>
      <c r="D182" s="11"/>
      <c r="P182">
        <f>IFERROR(IF(AND($B182&lt;&gt;"",$B182&lt;&gt;"Exterior",COUNTIF($B$6:B182,$B182)=1,COUNTIF($R$6:$R$12,$B182)=0),$B182,""),"")</f>
      </c>
      <c r="Q182">
        <f>IFERROR(IF(AND($C182&lt;&gt;"",$C182&lt;&gt;"Exterior",COUNTIF($C$6:C182,$C182)=1,COUNTIF($R$6:$R$12,$C182)=0,COUNTIF($B$6:$B$505,$C182)=0),$C182,""),"")</f>
      </c>
      <c r="X182">
        <f>IFERROR(ROUND(MAX(0,SUMIFS($D$6:$D182,$C$6:$C182,$B182,$A$6:$A182,"&lt;="&amp;$A182)*MAX(0,IFERROR(1+VLOOKUP($B182,$F$6:$I$19,4,FALSE),IFERROR(1+INDEX($U$6:$U$505,MATCH($B182,$S$6:$S$505,0)),1)))-(SUMIFS($D$6:$D182,$B$6:$B182,$B182,$A$6:$A182,"&lt;="&amp;$A182)-$D182)),2),0)</f>
      </c>
    </row>
    <row r="183" spans="1:24" x14ac:dyDescent="0.25">
      <c r="A183" s="9">
        <v>46317</v>
      </c>
      <c r="B183" s="10"/>
      <c r="C183" s="10"/>
      <c r="D183" s="11"/>
      <c r="P183">
        <f>IFERROR(IF(AND($B183&lt;&gt;"",$B183&lt;&gt;"Exterior",COUNTIF($B$6:B183,$B183)=1,COUNTIF($R$6:$R$12,$B183)=0),$B183,""),"")</f>
      </c>
      <c r="Q183">
        <f>IFERROR(IF(AND($C183&lt;&gt;"",$C183&lt;&gt;"Exterior",COUNTIF($C$6:C183,$C183)=1,COUNTIF($R$6:$R$12,$C183)=0,COUNTIF($B$6:$B$505,$C183)=0),$C183,""),"")</f>
      </c>
      <c r="X183">
        <f>IFERROR(ROUND(MAX(0,SUMIFS($D$6:$D183,$C$6:$C183,$B183,$A$6:$A183,"&lt;="&amp;$A183)*MAX(0,IFERROR(1+VLOOKUP($B183,$F$6:$I$19,4,FALSE),IFERROR(1+INDEX($U$6:$U$505,MATCH($B183,$S$6:$S$505,0)),1)))-(SUMIFS($D$6:$D183,$B$6:$B183,$B183,$A$6:$A183,"&lt;="&amp;$A183)-$D183)),2),0)</f>
      </c>
    </row>
    <row r="184" spans="1:24" x14ac:dyDescent="0.25">
      <c r="A184" s="9">
        <v>46317</v>
      </c>
      <c r="B184" s="10"/>
      <c r="C184" s="10"/>
      <c r="D184" s="11"/>
      <c r="P184">
        <f>IFERROR(IF(AND($B184&lt;&gt;"",$B184&lt;&gt;"Exterior",COUNTIF($B$6:B184,$B184)=1,COUNTIF($R$6:$R$12,$B184)=0),$B184,""),"")</f>
      </c>
      <c r="Q184">
        <f>IFERROR(IF(AND($C184&lt;&gt;"",$C184&lt;&gt;"Exterior",COUNTIF($C$6:C184,$C184)=1,COUNTIF($R$6:$R$12,$C184)=0,COUNTIF($B$6:$B$505,$C184)=0),$C184,""),"")</f>
      </c>
      <c r="X184">
        <f>IFERROR(ROUND(MAX(0,SUMIFS($D$6:$D184,$C$6:$C184,$B184,$A$6:$A184,"&lt;="&amp;$A184)*MAX(0,IFERROR(1+VLOOKUP($B184,$F$6:$I$19,4,FALSE),IFERROR(1+INDEX($U$6:$U$505,MATCH($B184,$S$6:$S$505,0)),1)))-(SUMIFS($D$6:$D184,$B$6:$B184,$B184,$A$6:$A184,"&lt;="&amp;$A184)-$D184)),2),0)</f>
      </c>
    </row>
    <row r="185" spans="1:24" x14ac:dyDescent="0.25">
      <c r="A185" s="9">
        <v>46317</v>
      </c>
      <c r="B185" s="10"/>
      <c r="C185" s="10"/>
      <c r="D185" s="11"/>
      <c r="P185">
        <f>IFERROR(IF(AND($B185&lt;&gt;"",$B185&lt;&gt;"Exterior",COUNTIF($B$6:B185,$B185)=1,COUNTIF($R$6:$R$12,$B185)=0),$B185,""),"")</f>
      </c>
      <c r="Q185">
        <f>IFERROR(IF(AND($C185&lt;&gt;"",$C185&lt;&gt;"Exterior",COUNTIF($C$6:C185,$C185)=1,COUNTIF($R$6:$R$12,$C185)=0,COUNTIF($B$6:$B$505,$C185)=0),$C185,""),"")</f>
      </c>
      <c r="X185">
        <f>IFERROR(ROUND(MAX(0,SUMIFS($D$6:$D185,$C$6:$C185,$B185,$A$6:$A185,"&lt;="&amp;$A185)*MAX(0,IFERROR(1+VLOOKUP($B185,$F$6:$I$19,4,FALSE),IFERROR(1+INDEX($U$6:$U$505,MATCH($B185,$S$6:$S$505,0)),1)))-(SUMIFS($D$6:$D185,$B$6:$B185,$B185,$A$6:$A185,"&lt;="&amp;$A185)-$D185)),2),0)</f>
      </c>
    </row>
    <row r="186" spans="1:24" x14ac:dyDescent="0.25">
      <c r="A186" s="9">
        <v>46317</v>
      </c>
      <c r="B186" s="10"/>
      <c r="C186" s="10"/>
      <c r="D186" s="11"/>
      <c r="P186">
        <f>IFERROR(IF(AND($B186&lt;&gt;"",$B186&lt;&gt;"Exterior",COUNTIF($B$6:B186,$B186)=1,COUNTIF($R$6:$R$12,$B186)=0),$B186,""),"")</f>
      </c>
      <c r="Q186">
        <f>IFERROR(IF(AND($C186&lt;&gt;"",$C186&lt;&gt;"Exterior",COUNTIF($C$6:C186,$C186)=1,COUNTIF($R$6:$R$12,$C186)=0,COUNTIF($B$6:$B$505,$C186)=0),$C186,""),"")</f>
      </c>
      <c r="X186">
        <f>IFERROR(ROUND(MAX(0,SUMIFS($D$6:$D186,$C$6:$C186,$B186,$A$6:$A186,"&lt;="&amp;$A186)*MAX(0,IFERROR(1+VLOOKUP($B186,$F$6:$I$19,4,FALSE),IFERROR(1+INDEX($U$6:$U$505,MATCH($B186,$S$6:$S$505,0)),1)))-(SUMIFS($D$6:$D186,$B$6:$B186,$B186,$A$6:$A186,"&lt;="&amp;$A186)-$D186)),2),0)</f>
      </c>
    </row>
    <row r="187" spans="1:24" x14ac:dyDescent="0.25">
      <c r="A187" s="9">
        <v>46317</v>
      </c>
      <c r="B187" s="10"/>
      <c r="C187" s="10"/>
      <c r="D187" s="11"/>
      <c r="P187">
        <f>IFERROR(IF(AND($B187&lt;&gt;"",$B187&lt;&gt;"Exterior",COUNTIF($B$6:B187,$B187)=1,COUNTIF($R$6:$R$12,$B187)=0),$B187,""),"")</f>
      </c>
      <c r="Q187">
        <f>IFERROR(IF(AND($C187&lt;&gt;"",$C187&lt;&gt;"Exterior",COUNTIF($C$6:C187,$C187)=1,COUNTIF($R$6:$R$12,$C187)=0,COUNTIF($B$6:$B$505,$C187)=0),$C187,""),"")</f>
      </c>
      <c r="X187">
        <f>IFERROR(ROUND(MAX(0,SUMIFS($D$6:$D187,$C$6:$C187,$B187,$A$6:$A187,"&lt;="&amp;$A187)*MAX(0,IFERROR(1+VLOOKUP($B187,$F$6:$I$19,4,FALSE),IFERROR(1+INDEX($U$6:$U$505,MATCH($B187,$S$6:$S$505,0)),1)))-(SUMIFS($D$6:$D187,$B$6:$B187,$B187,$A$6:$A187,"&lt;="&amp;$A187)-$D187)),2),0)</f>
      </c>
    </row>
    <row r="188" spans="1:24" x14ac:dyDescent="0.25">
      <c r="A188" s="9">
        <v>46317</v>
      </c>
      <c r="B188" s="10"/>
      <c r="C188" s="10"/>
      <c r="D188" s="11"/>
      <c r="P188">
        <f>IFERROR(IF(AND($B188&lt;&gt;"",$B188&lt;&gt;"Exterior",COUNTIF($B$6:B188,$B188)=1,COUNTIF($R$6:$R$12,$B188)=0),$B188,""),"")</f>
      </c>
      <c r="Q188">
        <f>IFERROR(IF(AND($C188&lt;&gt;"",$C188&lt;&gt;"Exterior",COUNTIF($C$6:C188,$C188)=1,COUNTIF($R$6:$R$12,$C188)=0,COUNTIF($B$6:$B$505,$C188)=0),$C188,""),"")</f>
      </c>
      <c r="X188">
        <f>IFERROR(ROUND(MAX(0,SUMIFS($D$6:$D188,$C$6:$C188,$B188,$A$6:$A188,"&lt;="&amp;$A188)*MAX(0,IFERROR(1+VLOOKUP($B188,$F$6:$I$19,4,FALSE),IFERROR(1+INDEX($U$6:$U$505,MATCH($B188,$S$6:$S$505,0)),1)))-(SUMIFS($D$6:$D188,$B$6:$B188,$B188,$A$6:$A188,"&lt;="&amp;$A188)-$D188)),2),0)</f>
      </c>
    </row>
    <row r="189" spans="1:24" x14ac:dyDescent="0.25">
      <c r="A189" s="9">
        <v>46317</v>
      </c>
      <c r="B189" s="10"/>
      <c r="C189" s="10"/>
      <c r="D189" s="11"/>
      <c r="P189">
        <f>IFERROR(IF(AND($B189&lt;&gt;"",$B189&lt;&gt;"Exterior",COUNTIF($B$6:B189,$B189)=1,COUNTIF($R$6:$R$12,$B189)=0),$B189,""),"")</f>
      </c>
      <c r="Q189">
        <f>IFERROR(IF(AND($C189&lt;&gt;"",$C189&lt;&gt;"Exterior",COUNTIF($C$6:C189,$C189)=1,COUNTIF($R$6:$R$12,$C189)=0,COUNTIF($B$6:$B$505,$C189)=0),$C189,""),"")</f>
      </c>
      <c r="X189">
        <f>IFERROR(ROUND(MAX(0,SUMIFS($D$6:$D189,$C$6:$C189,$B189,$A$6:$A189,"&lt;="&amp;$A189)*MAX(0,IFERROR(1+VLOOKUP($B189,$F$6:$I$19,4,FALSE),IFERROR(1+INDEX($U$6:$U$505,MATCH($B189,$S$6:$S$505,0)),1)))-(SUMIFS($D$6:$D189,$B$6:$B189,$B189,$A$6:$A189,"&lt;="&amp;$A189)-$D189)),2),0)</f>
      </c>
    </row>
    <row r="190" spans="1:24" x14ac:dyDescent="0.25">
      <c r="A190" s="9">
        <v>46317</v>
      </c>
      <c r="B190" s="10"/>
      <c r="C190" s="10"/>
      <c r="D190" s="11"/>
      <c r="P190">
        <f>IFERROR(IF(AND($B190&lt;&gt;"",$B190&lt;&gt;"Exterior",COUNTIF($B$6:B190,$B190)=1,COUNTIF($R$6:$R$12,$B190)=0),$B190,""),"")</f>
      </c>
      <c r="Q190">
        <f>IFERROR(IF(AND($C190&lt;&gt;"",$C190&lt;&gt;"Exterior",COUNTIF($C$6:C190,$C190)=1,COUNTIF($R$6:$R$12,$C190)=0,COUNTIF($B$6:$B$505,$C190)=0),$C190,""),"")</f>
      </c>
      <c r="X190">
        <f>IFERROR(ROUND(MAX(0,SUMIFS($D$6:$D190,$C$6:$C190,$B190,$A$6:$A190,"&lt;="&amp;$A190)*MAX(0,IFERROR(1+VLOOKUP($B190,$F$6:$I$19,4,FALSE),IFERROR(1+INDEX($U$6:$U$505,MATCH($B190,$S$6:$S$505,0)),1)))-(SUMIFS($D$6:$D190,$B$6:$B190,$B190,$A$6:$A190,"&lt;="&amp;$A190)-$D190)),2),0)</f>
      </c>
    </row>
    <row r="191" spans="1:24" x14ac:dyDescent="0.25">
      <c r="A191" s="9">
        <v>46317</v>
      </c>
      <c r="B191" s="10"/>
      <c r="C191" s="10"/>
      <c r="D191" s="11"/>
      <c r="P191">
        <f>IFERROR(IF(AND($B191&lt;&gt;"",$B191&lt;&gt;"Exterior",COUNTIF($B$6:B191,$B191)=1,COUNTIF($R$6:$R$12,$B191)=0),$B191,""),"")</f>
      </c>
      <c r="Q191">
        <f>IFERROR(IF(AND($C191&lt;&gt;"",$C191&lt;&gt;"Exterior",COUNTIF($C$6:C191,$C191)=1,COUNTIF($R$6:$R$12,$C191)=0,COUNTIF($B$6:$B$505,$C191)=0),$C191,""),"")</f>
      </c>
      <c r="X191">
        <f>IFERROR(ROUND(MAX(0,SUMIFS($D$6:$D191,$C$6:$C191,$B191,$A$6:$A191,"&lt;="&amp;$A191)*MAX(0,IFERROR(1+VLOOKUP($B191,$F$6:$I$19,4,FALSE),IFERROR(1+INDEX($U$6:$U$505,MATCH($B191,$S$6:$S$505,0)),1)))-(SUMIFS($D$6:$D191,$B$6:$B191,$B191,$A$6:$A191,"&lt;="&amp;$A191)-$D191)),2),0)</f>
      </c>
    </row>
    <row r="192" spans="1:24" x14ac:dyDescent="0.25">
      <c r="A192" s="9">
        <v>46317</v>
      </c>
      <c r="B192" s="10"/>
      <c r="C192" s="10"/>
      <c r="D192" s="11"/>
      <c r="P192">
        <f>IFERROR(IF(AND($B192&lt;&gt;"",$B192&lt;&gt;"Exterior",COUNTIF($B$6:B192,$B192)=1,COUNTIF($R$6:$R$12,$B192)=0),$B192,""),"")</f>
      </c>
      <c r="Q192">
        <f>IFERROR(IF(AND($C192&lt;&gt;"",$C192&lt;&gt;"Exterior",COUNTIF($C$6:C192,$C192)=1,COUNTIF($R$6:$R$12,$C192)=0,COUNTIF($B$6:$B$505,$C192)=0),$C192,""),"")</f>
      </c>
      <c r="X192">
        <f>IFERROR(ROUND(MAX(0,SUMIFS($D$6:$D192,$C$6:$C192,$B192,$A$6:$A192,"&lt;="&amp;$A192)*MAX(0,IFERROR(1+VLOOKUP($B192,$F$6:$I$19,4,FALSE),IFERROR(1+INDEX($U$6:$U$505,MATCH($B192,$S$6:$S$505,0)),1)))-(SUMIFS($D$6:$D192,$B$6:$B192,$B192,$A$6:$A192,"&lt;="&amp;$A192)-$D192)),2),0)</f>
      </c>
    </row>
    <row r="193" spans="1:24" x14ac:dyDescent="0.25">
      <c r="A193" s="9">
        <v>46317</v>
      </c>
      <c r="B193" s="10"/>
      <c r="C193" s="10"/>
      <c r="D193" s="11"/>
      <c r="P193">
        <f>IFERROR(IF(AND($B193&lt;&gt;"",$B193&lt;&gt;"Exterior",COUNTIF($B$6:B193,$B193)=1,COUNTIF($R$6:$R$12,$B193)=0),$B193,""),"")</f>
      </c>
      <c r="Q193">
        <f>IFERROR(IF(AND($C193&lt;&gt;"",$C193&lt;&gt;"Exterior",COUNTIF($C$6:C193,$C193)=1,COUNTIF($R$6:$R$12,$C193)=0,COUNTIF($B$6:$B$505,$C193)=0),$C193,""),"")</f>
      </c>
      <c r="X193">
        <f>IFERROR(ROUND(MAX(0,SUMIFS($D$6:$D193,$C$6:$C193,$B193,$A$6:$A193,"&lt;="&amp;$A193)*MAX(0,IFERROR(1+VLOOKUP($B193,$F$6:$I$19,4,FALSE),IFERROR(1+INDEX($U$6:$U$505,MATCH($B193,$S$6:$S$505,0)),1)))-(SUMIFS($D$6:$D193,$B$6:$B193,$B193,$A$6:$A193,"&lt;="&amp;$A193)-$D193)),2),0)</f>
      </c>
    </row>
    <row r="194" spans="1:24" x14ac:dyDescent="0.25">
      <c r="A194" s="9">
        <v>46317</v>
      </c>
      <c r="B194" s="10"/>
      <c r="C194" s="10"/>
      <c r="D194" s="11"/>
      <c r="P194">
        <f>IFERROR(IF(AND($B194&lt;&gt;"",$B194&lt;&gt;"Exterior",COUNTIF($B$6:B194,$B194)=1,COUNTIF($R$6:$R$12,$B194)=0),$B194,""),"")</f>
      </c>
      <c r="Q194">
        <f>IFERROR(IF(AND($C194&lt;&gt;"",$C194&lt;&gt;"Exterior",COUNTIF($C$6:C194,$C194)=1,COUNTIF($R$6:$R$12,$C194)=0,COUNTIF($B$6:$B$505,$C194)=0),$C194,""),"")</f>
      </c>
      <c r="X194">
        <f>IFERROR(ROUND(MAX(0,SUMIFS($D$6:$D194,$C$6:$C194,$B194,$A$6:$A194,"&lt;="&amp;$A194)*MAX(0,IFERROR(1+VLOOKUP($B194,$F$6:$I$19,4,FALSE),IFERROR(1+INDEX($U$6:$U$505,MATCH($B194,$S$6:$S$505,0)),1)))-(SUMIFS($D$6:$D194,$B$6:$B194,$B194,$A$6:$A194,"&lt;="&amp;$A194)-$D194)),2),0)</f>
      </c>
    </row>
    <row r="195" spans="1:24" x14ac:dyDescent="0.25">
      <c r="A195" s="9">
        <v>46317</v>
      </c>
      <c r="B195" s="10"/>
      <c r="C195" s="10"/>
      <c r="D195" s="11"/>
      <c r="P195">
        <f>IFERROR(IF(AND($B195&lt;&gt;"",$B195&lt;&gt;"Exterior",COUNTIF($B$6:B195,$B195)=1,COUNTIF($R$6:$R$12,$B195)=0),$B195,""),"")</f>
      </c>
      <c r="Q195">
        <f>IFERROR(IF(AND($C195&lt;&gt;"",$C195&lt;&gt;"Exterior",COUNTIF($C$6:C195,$C195)=1,COUNTIF($R$6:$R$12,$C195)=0,COUNTIF($B$6:$B$505,$C195)=0),$C195,""),"")</f>
      </c>
      <c r="X195">
        <f>IFERROR(ROUND(MAX(0,SUMIFS($D$6:$D195,$C$6:$C195,$B195,$A$6:$A195,"&lt;="&amp;$A195)*MAX(0,IFERROR(1+VLOOKUP($B195,$F$6:$I$19,4,FALSE),IFERROR(1+INDEX($U$6:$U$505,MATCH($B195,$S$6:$S$505,0)),1)))-(SUMIFS($D$6:$D195,$B$6:$B195,$B195,$A$6:$A195,"&lt;="&amp;$A195)-$D195)),2),0)</f>
      </c>
    </row>
    <row r="196" spans="1:24" x14ac:dyDescent="0.25">
      <c r="A196" s="9">
        <v>46317</v>
      </c>
      <c r="B196" s="10"/>
      <c r="C196" s="10"/>
      <c r="D196" s="11"/>
      <c r="P196">
        <f>IFERROR(IF(AND($B196&lt;&gt;"",$B196&lt;&gt;"Exterior",COUNTIF($B$6:B196,$B196)=1,COUNTIF($R$6:$R$12,$B196)=0),$B196,""),"")</f>
      </c>
      <c r="Q196">
        <f>IFERROR(IF(AND($C196&lt;&gt;"",$C196&lt;&gt;"Exterior",COUNTIF($C$6:C196,$C196)=1,COUNTIF($R$6:$R$12,$C196)=0,COUNTIF($B$6:$B$505,$C196)=0),$C196,""),"")</f>
      </c>
      <c r="X196">
        <f>IFERROR(ROUND(MAX(0,SUMIFS($D$6:$D196,$C$6:$C196,$B196,$A$6:$A196,"&lt;="&amp;$A196)*MAX(0,IFERROR(1+VLOOKUP($B196,$F$6:$I$19,4,FALSE),IFERROR(1+INDEX($U$6:$U$505,MATCH($B196,$S$6:$S$505,0)),1)))-(SUMIFS($D$6:$D196,$B$6:$B196,$B196,$A$6:$A196,"&lt;="&amp;$A196)-$D196)),2),0)</f>
      </c>
    </row>
    <row r="197" spans="1:24" x14ac:dyDescent="0.25">
      <c r="A197" s="9">
        <v>46317</v>
      </c>
      <c r="B197" s="10"/>
      <c r="C197" s="10"/>
      <c r="D197" s="11"/>
      <c r="P197">
        <f>IFERROR(IF(AND($B197&lt;&gt;"",$B197&lt;&gt;"Exterior",COUNTIF($B$6:B197,$B197)=1,COUNTIF($R$6:$R$12,$B197)=0),$B197,""),"")</f>
      </c>
      <c r="Q197">
        <f>IFERROR(IF(AND($C197&lt;&gt;"",$C197&lt;&gt;"Exterior",COUNTIF($C$6:C197,$C197)=1,COUNTIF($R$6:$R$12,$C197)=0,COUNTIF($B$6:$B$505,$C197)=0),$C197,""),"")</f>
      </c>
      <c r="X197">
        <f>IFERROR(ROUND(MAX(0,SUMIFS($D$6:$D197,$C$6:$C197,$B197,$A$6:$A197,"&lt;="&amp;$A197)*MAX(0,IFERROR(1+VLOOKUP($B197,$F$6:$I$19,4,FALSE),IFERROR(1+INDEX($U$6:$U$505,MATCH($B197,$S$6:$S$505,0)),1)))-(SUMIFS($D$6:$D197,$B$6:$B197,$B197,$A$6:$A197,"&lt;="&amp;$A197)-$D197)),2),0)</f>
      </c>
    </row>
    <row r="198" spans="1:24" x14ac:dyDescent="0.25">
      <c r="A198" s="9">
        <v>46317</v>
      </c>
      <c r="B198" s="10"/>
      <c r="C198" s="10"/>
      <c r="D198" s="11"/>
      <c r="P198">
        <f>IFERROR(IF(AND($B198&lt;&gt;"",$B198&lt;&gt;"Exterior",COUNTIF($B$6:B198,$B198)=1,COUNTIF($R$6:$R$12,$B198)=0),$B198,""),"")</f>
      </c>
      <c r="Q198">
        <f>IFERROR(IF(AND($C198&lt;&gt;"",$C198&lt;&gt;"Exterior",COUNTIF($C$6:C198,$C198)=1,COUNTIF($R$6:$R$12,$C198)=0,COUNTIF($B$6:$B$505,$C198)=0),$C198,""),"")</f>
      </c>
      <c r="X198">
        <f>IFERROR(ROUND(MAX(0,SUMIFS($D$6:$D198,$C$6:$C198,$B198,$A$6:$A198,"&lt;="&amp;$A198)*MAX(0,IFERROR(1+VLOOKUP($B198,$F$6:$I$19,4,FALSE),IFERROR(1+INDEX($U$6:$U$505,MATCH($B198,$S$6:$S$505,0)),1)))-(SUMIFS($D$6:$D198,$B$6:$B198,$B198,$A$6:$A198,"&lt;="&amp;$A198)-$D198)),2),0)</f>
      </c>
    </row>
    <row r="199" spans="1:24" x14ac:dyDescent="0.25">
      <c r="A199" s="9">
        <v>46317</v>
      </c>
      <c r="B199" s="10"/>
      <c r="C199" s="10"/>
      <c r="D199" s="11"/>
      <c r="P199">
        <f>IFERROR(IF(AND($B199&lt;&gt;"",$B199&lt;&gt;"Exterior",COUNTIF($B$6:B199,$B199)=1,COUNTIF($R$6:$R$12,$B199)=0),$B199,""),"")</f>
      </c>
      <c r="Q199">
        <f>IFERROR(IF(AND($C199&lt;&gt;"",$C199&lt;&gt;"Exterior",COUNTIF($C$6:C199,$C199)=1,COUNTIF($R$6:$R$12,$C199)=0,COUNTIF($B$6:$B$505,$C199)=0),$C199,""),"")</f>
      </c>
      <c r="X199">
        <f>IFERROR(ROUND(MAX(0,SUMIFS($D$6:$D199,$C$6:$C199,$B199,$A$6:$A199,"&lt;="&amp;$A199)*MAX(0,IFERROR(1+VLOOKUP($B199,$F$6:$I$19,4,FALSE),IFERROR(1+INDEX($U$6:$U$505,MATCH($B199,$S$6:$S$505,0)),1)))-(SUMIFS($D$6:$D199,$B$6:$B199,$B199,$A$6:$A199,"&lt;="&amp;$A199)-$D199)),2),0)</f>
      </c>
    </row>
    <row r="200" spans="1:24" x14ac:dyDescent="0.25">
      <c r="A200" s="9">
        <v>46317</v>
      </c>
      <c r="B200" s="10"/>
      <c r="C200" s="10"/>
      <c r="D200" s="11"/>
      <c r="P200">
        <f>IFERROR(IF(AND($B200&lt;&gt;"",$B200&lt;&gt;"Exterior",COUNTIF($B$6:B200,$B200)=1,COUNTIF($R$6:$R$12,$B200)=0),$B200,""),"")</f>
      </c>
      <c r="Q200">
        <f>IFERROR(IF(AND($C200&lt;&gt;"",$C200&lt;&gt;"Exterior",COUNTIF($C$6:C200,$C200)=1,COUNTIF($R$6:$R$12,$C200)=0,COUNTIF($B$6:$B$505,$C200)=0),$C200,""),"")</f>
      </c>
      <c r="X200">
        <f>IFERROR(ROUND(MAX(0,SUMIFS($D$6:$D200,$C$6:$C200,$B200,$A$6:$A200,"&lt;="&amp;$A200)*MAX(0,IFERROR(1+VLOOKUP($B200,$F$6:$I$19,4,FALSE),IFERROR(1+INDEX($U$6:$U$505,MATCH($B200,$S$6:$S$505,0)),1)))-(SUMIFS($D$6:$D200,$B$6:$B200,$B200,$A$6:$A200,"&lt;="&amp;$A200)-$D200)),2),0)</f>
      </c>
    </row>
    <row r="201" spans="1:24" x14ac:dyDescent="0.25">
      <c r="A201" s="9">
        <v>46317</v>
      </c>
      <c r="B201" s="10"/>
      <c r="C201" s="10"/>
      <c r="D201" s="11"/>
      <c r="P201">
        <f>IFERROR(IF(AND($B201&lt;&gt;"",$B201&lt;&gt;"Exterior",COUNTIF($B$6:B201,$B201)=1,COUNTIF($R$6:$R$12,$B201)=0),$B201,""),"")</f>
      </c>
      <c r="Q201">
        <f>IFERROR(IF(AND($C201&lt;&gt;"",$C201&lt;&gt;"Exterior",COUNTIF($C$6:C201,$C201)=1,COUNTIF($R$6:$R$12,$C201)=0,COUNTIF($B$6:$B$505,$C201)=0),$C201,""),"")</f>
      </c>
      <c r="X201">
        <f>IFERROR(ROUND(MAX(0,SUMIFS($D$6:$D201,$C$6:$C201,$B201,$A$6:$A201,"&lt;="&amp;$A201)*MAX(0,IFERROR(1+VLOOKUP($B201,$F$6:$I$19,4,FALSE),IFERROR(1+INDEX($U$6:$U$505,MATCH($B201,$S$6:$S$505,0)),1)))-(SUMIFS($D$6:$D201,$B$6:$B201,$B201,$A$6:$A201,"&lt;="&amp;$A201)-$D201)),2),0)</f>
      </c>
    </row>
    <row r="202" spans="1:24" x14ac:dyDescent="0.25">
      <c r="A202" s="9">
        <v>46317</v>
      </c>
      <c r="B202" s="10"/>
      <c r="C202" s="10"/>
      <c r="D202" s="11"/>
      <c r="P202">
        <f>IFERROR(IF(AND($B202&lt;&gt;"",$B202&lt;&gt;"Exterior",COUNTIF($B$6:B202,$B202)=1,COUNTIF($R$6:$R$12,$B202)=0),$B202,""),"")</f>
      </c>
      <c r="Q202">
        <f>IFERROR(IF(AND($C202&lt;&gt;"",$C202&lt;&gt;"Exterior",COUNTIF($C$6:C202,$C202)=1,COUNTIF($R$6:$R$12,$C202)=0,COUNTIF($B$6:$B$505,$C202)=0),$C202,""),"")</f>
      </c>
      <c r="X202">
        <f>IFERROR(ROUND(MAX(0,SUMIFS($D$6:$D202,$C$6:$C202,$B202,$A$6:$A202,"&lt;="&amp;$A202)*MAX(0,IFERROR(1+VLOOKUP($B202,$F$6:$I$19,4,FALSE),IFERROR(1+INDEX($U$6:$U$505,MATCH($B202,$S$6:$S$505,0)),1)))-(SUMIFS($D$6:$D202,$B$6:$B202,$B202,$A$6:$A202,"&lt;="&amp;$A202)-$D202)),2),0)</f>
      </c>
    </row>
    <row r="203" spans="1:24" x14ac:dyDescent="0.25">
      <c r="A203" s="9">
        <v>46317</v>
      </c>
      <c r="B203" s="10"/>
      <c r="C203" s="10"/>
      <c r="D203" s="11"/>
      <c r="P203">
        <f>IFERROR(IF(AND($B203&lt;&gt;"",$B203&lt;&gt;"Exterior",COUNTIF($B$6:B203,$B203)=1,COUNTIF($R$6:$R$12,$B203)=0),$B203,""),"")</f>
      </c>
      <c r="Q203">
        <f>IFERROR(IF(AND($C203&lt;&gt;"",$C203&lt;&gt;"Exterior",COUNTIF($C$6:C203,$C203)=1,COUNTIF($R$6:$R$12,$C203)=0,COUNTIF($B$6:$B$505,$C203)=0),$C203,""),"")</f>
      </c>
      <c r="X203">
        <f>IFERROR(ROUND(MAX(0,SUMIFS($D$6:$D203,$C$6:$C203,$B203,$A$6:$A203,"&lt;="&amp;$A203)*MAX(0,IFERROR(1+VLOOKUP($B203,$F$6:$I$19,4,FALSE),IFERROR(1+INDEX($U$6:$U$505,MATCH($B203,$S$6:$S$505,0)),1)))-(SUMIFS($D$6:$D203,$B$6:$B203,$B203,$A$6:$A203,"&lt;="&amp;$A203)-$D203)),2),0)</f>
      </c>
    </row>
    <row r="204" spans="1:24" x14ac:dyDescent="0.25">
      <c r="A204" s="9">
        <v>46317</v>
      </c>
      <c r="B204" s="10"/>
      <c r="C204" s="10"/>
      <c r="D204" s="11"/>
      <c r="P204">
        <f>IFERROR(IF(AND($B204&lt;&gt;"",$B204&lt;&gt;"Exterior",COUNTIF($B$6:B204,$B204)=1,COUNTIF($R$6:$R$12,$B204)=0),$B204,""),"")</f>
      </c>
      <c r="Q204">
        <f>IFERROR(IF(AND($C204&lt;&gt;"",$C204&lt;&gt;"Exterior",COUNTIF($C$6:C204,$C204)=1,COUNTIF($R$6:$R$12,$C204)=0,COUNTIF($B$6:$B$505,$C204)=0),$C204,""),"")</f>
      </c>
      <c r="X204">
        <f>IFERROR(ROUND(MAX(0,SUMIFS($D$6:$D204,$C$6:$C204,$B204,$A$6:$A204,"&lt;="&amp;$A204)*MAX(0,IFERROR(1+VLOOKUP($B204,$F$6:$I$19,4,FALSE),IFERROR(1+INDEX($U$6:$U$505,MATCH($B204,$S$6:$S$505,0)),1)))-(SUMIFS($D$6:$D204,$B$6:$B204,$B204,$A$6:$A204,"&lt;="&amp;$A204)-$D204)),2),0)</f>
      </c>
    </row>
    <row r="205" spans="1:24" x14ac:dyDescent="0.25">
      <c r="A205" s="9">
        <v>46317</v>
      </c>
      <c r="B205" s="10"/>
      <c r="C205" s="10"/>
      <c r="D205" s="11"/>
      <c r="P205">
        <f>IFERROR(IF(AND($B205&lt;&gt;"",$B205&lt;&gt;"Exterior",COUNTIF($B$6:B205,$B205)=1,COUNTIF($R$6:$R$12,$B205)=0),$B205,""),"")</f>
      </c>
      <c r="Q205">
        <f>IFERROR(IF(AND($C205&lt;&gt;"",$C205&lt;&gt;"Exterior",COUNTIF($C$6:C205,$C205)=1,COUNTIF($R$6:$R$12,$C205)=0,COUNTIF($B$6:$B$505,$C205)=0),$C205,""),"")</f>
      </c>
      <c r="X205">
        <f>IFERROR(ROUND(MAX(0,SUMIFS($D$6:$D205,$C$6:$C205,$B205,$A$6:$A205,"&lt;="&amp;$A205)*MAX(0,IFERROR(1+VLOOKUP($B205,$F$6:$I$19,4,FALSE),IFERROR(1+INDEX($U$6:$U$505,MATCH($B205,$S$6:$S$505,0)),1)))-(SUMIFS($D$6:$D205,$B$6:$B205,$B205,$A$6:$A205,"&lt;="&amp;$A205)-$D205)),2),0)</f>
      </c>
    </row>
    <row r="206" spans="1:24" x14ac:dyDescent="0.25">
      <c r="A206" s="9">
        <v>46317</v>
      </c>
      <c r="B206" s="10"/>
      <c r="C206" s="10"/>
      <c r="D206" s="11"/>
      <c r="P206">
        <f>IFERROR(IF(AND($B206&lt;&gt;"",$B206&lt;&gt;"Exterior",COUNTIF($B$6:B206,$B206)=1,COUNTIF($R$6:$R$12,$B206)=0),$B206,""),"")</f>
      </c>
      <c r="Q206">
        <f>IFERROR(IF(AND($C206&lt;&gt;"",$C206&lt;&gt;"Exterior",COUNTIF($C$6:C206,$C206)=1,COUNTIF($R$6:$R$12,$C206)=0,COUNTIF($B$6:$B$505,$C206)=0),$C206,""),"")</f>
      </c>
      <c r="X206">
        <f>IFERROR(ROUND(MAX(0,SUMIFS($D$6:$D206,$C$6:$C206,$B206,$A$6:$A206,"&lt;="&amp;$A206)*MAX(0,IFERROR(1+VLOOKUP($B206,$F$6:$I$19,4,FALSE),IFERROR(1+INDEX($U$6:$U$505,MATCH($B206,$S$6:$S$505,0)),1)))-(SUMIFS($D$6:$D206,$B$6:$B206,$B206,$A$6:$A206,"&lt;="&amp;$A206)-$D206)),2),0)</f>
      </c>
    </row>
    <row r="207" spans="1:24" x14ac:dyDescent="0.25">
      <c r="A207" s="9">
        <v>46317</v>
      </c>
      <c r="B207" s="10"/>
      <c r="C207" s="10"/>
      <c r="D207" s="11"/>
      <c r="P207">
        <f>IFERROR(IF(AND($B207&lt;&gt;"",$B207&lt;&gt;"Exterior",COUNTIF($B$6:B207,$B207)=1,COUNTIF($R$6:$R$12,$B207)=0),$B207,""),"")</f>
      </c>
      <c r="Q207">
        <f>IFERROR(IF(AND($C207&lt;&gt;"",$C207&lt;&gt;"Exterior",COUNTIF($C$6:C207,$C207)=1,COUNTIF($R$6:$R$12,$C207)=0,COUNTIF($B$6:$B$505,$C207)=0),$C207,""),"")</f>
      </c>
      <c r="X207">
        <f>IFERROR(ROUND(MAX(0,SUMIFS($D$6:$D207,$C$6:$C207,$B207,$A$6:$A207,"&lt;="&amp;$A207)*MAX(0,IFERROR(1+VLOOKUP($B207,$F$6:$I$19,4,FALSE),IFERROR(1+INDEX($U$6:$U$505,MATCH($B207,$S$6:$S$505,0)),1)))-(SUMIFS($D$6:$D207,$B$6:$B207,$B207,$A$6:$A207,"&lt;="&amp;$A207)-$D207)),2),0)</f>
      </c>
    </row>
    <row r="208" spans="1:24" x14ac:dyDescent="0.25">
      <c r="A208" s="9">
        <v>46317</v>
      </c>
      <c r="B208" s="10"/>
      <c r="C208" s="10"/>
      <c r="D208" s="11"/>
      <c r="P208">
        <f>IFERROR(IF(AND($B208&lt;&gt;"",$B208&lt;&gt;"Exterior",COUNTIF($B$6:B208,$B208)=1,COUNTIF($R$6:$R$12,$B208)=0),$B208,""),"")</f>
      </c>
      <c r="Q208">
        <f>IFERROR(IF(AND($C208&lt;&gt;"",$C208&lt;&gt;"Exterior",COUNTIF($C$6:C208,$C208)=1,COUNTIF($R$6:$R$12,$C208)=0,COUNTIF($B$6:$B$505,$C208)=0),$C208,""),"")</f>
      </c>
      <c r="X208">
        <f>IFERROR(ROUND(MAX(0,SUMIFS($D$6:$D208,$C$6:$C208,$B208,$A$6:$A208,"&lt;="&amp;$A208)*MAX(0,IFERROR(1+VLOOKUP($B208,$F$6:$I$19,4,FALSE),IFERROR(1+INDEX($U$6:$U$505,MATCH($B208,$S$6:$S$505,0)),1)))-(SUMIFS($D$6:$D208,$B$6:$B208,$B208,$A$6:$A208,"&lt;="&amp;$A208)-$D208)),2),0)</f>
      </c>
    </row>
    <row r="209" spans="1:24" x14ac:dyDescent="0.25">
      <c r="A209" s="9">
        <v>46317</v>
      </c>
      <c r="B209" s="10"/>
      <c r="C209" s="10"/>
      <c r="D209" s="11"/>
      <c r="P209">
        <f>IFERROR(IF(AND($B209&lt;&gt;"",$B209&lt;&gt;"Exterior",COUNTIF($B$6:B209,$B209)=1,COUNTIF($R$6:$R$12,$B209)=0),$B209,""),"")</f>
      </c>
      <c r="Q209">
        <f>IFERROR(IF(AND($C209&lt;&gt;"",$C209&lt;&gt;"Exterior",COUNTIF($C$6:C209,$C209)=1,COUNTIF($R$6:$R$12,$C209)=0,COUNTIF($B$6:$B$505,$C209)=0),$C209,""),"")</f>
      </c>
      <c r="X209">
        <f>IFERROR(ROUND(MAX(0,SUMIFS($D$6:$D209,$C$6:$C209,$B209,$A$6:$A209,"&lt;="&amp;$A209)*MAX(0,IFERROR(1+VLOOKUP($B209,$F$6:$I$19,4,FALSE),IFERROR(1+INDEX($U$6:$U$505,MATCH($B209,$S$6:$S$505,0)),1)))-(SUMIFS($D$6:$D209,$B$6:$B209,$B209,$A$6:$A209,"&lt;="&amp;$A209)-$D209)),2),0)</f>
      </c>
    </row>
    <row r="210" spans="1:24" x14ac:dyDescent="0.25">
      <c r="A210" s="9">
        <v>46317</v>
      </c>
      <c r="B210" s="10"/>
      <c r="C210" s="10"/>
      <c r="D210" s="11"/>
      <c r="P210">
        <f>IFERROR(IF(AND($B210&lt;&gt;"",$B210&lt;&gt;"Exterior",COUNTIF($B$6:B210,$B210)=1,COUNTIF($R$6:$R$12,$B210)=0),$B210,""),"")</f>
      </c>
      <c r="Q210">
        <f>IFERROR(IF(AND($C210&lt;&gt;"",$C210&lt;&gt;"Exterior",COUNTIF($C$6:C210,$C210)=1,COUNTIF($R$6:$R$12,$C210)=0,COUNTIF($B$6:$B$505,$C210)=0),$C210,""),"")</f>
      </c>
      <c r="X210">
        <f>IFERROR(ROUND(MAX(0,SUMIFS($D$6:$D210,$C$6:$C210,$B210,$A$6:$A210,"&lt;="&amp;$A210)*MAX(0,IFERROR(1+VLOOKUP($B210,$F$6:$I$19,4,FALSE),IFERROR(1+INDEX($U$6:$U$505,MATCH($B210,$S$6:$S$505,0)),1)))-(SUMIFS($D$6:$D210,$B$6:$B210,$B210,$A$6:$A210,"&lt;="&amp;$A210)-$D210)),2),0)</f>
      </c>
    </row>
    <row r="211" spans="1:24" x14ac:dyDescent="0.25">
      <c r="A211" s="9">
        <v>46317</v>
      </c>
      <c r="B211" s="10"/>
      <c r="C211" s="10"/>
      <c r="D211" s="11"/>
      <c r="P211">
        <f>IFERROR(IF(AND($B211&lt;&gt;"",$B211&lt;&gt;"Exterior",COUNTIF($B$6:B211,$B211)=1,COUNTIF($R$6:$R$12,$B211)=0),$B211,""),"")</f>
      </c>
      <c r="Q211">
        <f>IFERROR(IF(AND($C211&lt;&gt;"",$C211&lt;&gt;"Exterior",COUNTIF($C$6:C211,$C211)=1,COUNTIF($R$6:$R$12,$C211)=0,COUNTIF($B$6:$B$505,$C211)=0),$C211,""),"")</f>
      </c>
      <c r="X211">
        <f>IFERROR(ROUND(MAX(0,SUMIFS($D$6:$D211,$C$6:$C211,$B211,$A$6:$A211,"&lt;="&amp;$A211)*MAX(0,IFERROR(1+VLOOKUP($B211,$F$6:$I$19,4,FALSE),IFERROR(1+INDEX($U$6:$U$505,MATCH($B211,$S$6:$S$505,0)),1)))-(SUMIFS($D$6:$D211,$B$6:$B211,$B211,$A$6:$A211,"&lt;="&amp;$A211)-$D211)),2),0)</f>
      </c>
    </row>
    <row r="212" spans="1:24" x14ac:dyDescent="0.25">
      <c r="A212" s="9">
        <v>46317</v>
      </c>
      <c r="B212" s="10"/>
      <c r="C212" s="10"/>
      <c r="D212" s="11"/>
      <c r="P212">
        <f>IFERROR(IF(AND($B212&lt;&gt;"",$B212&lt;&gt;"Exterior",COUNTIF($B$6:B212,$B212)=1,COUNTIF($R$6:$R$12,$B212)=0),$B212,""),"")</f>
      </c>
      <c r="Q212">
        <f>IFERROR(IF(AND($C212&lt;&gt;"",$C212&lt;&gt;"Exterior",COUNTIF($C$6:C212,$C212)=1,COUNTIF($R$6:$R$12,$C212)=0,COUNTIF($B$6:$B$505,$C212)=0),$C212,""),"")</f>
      </c>
      <c r="X212">
        <f>IFERROR(ROUND(MAX(0,SUMIFS($D$6:$D212,$C$6:$C212,$B212,$A$6:$A212,"&lt;="&amp;$A212)*MAX(0,IFERROR(1+VLOOKUP($B212,$F$6:$I$19,4,FALSE),IFERROR(1+INDEX($U$6:$U$505,MATCH($B212,$S$6:$S$505,0)),1)))-(SUMIFS($D$6:$D212,$B$6:$B212,$B212,$A$6:$A212,"&lt;="&amp;$A212)-$D212)),2),0)</f>
      </c>
    </row>
    <row r="213" spans="1:24" x14ac:dyDescent="0.25">
      <c r="A213" s="9">
        <v>46317</v>
      </c>
      <c r="B213" s="10"/>
      <c r="C213" s="10"/>
      <c r="D213" s="11"/>
      <c r="P213">
        <f>IFERROR(IF(AND($B213&lt;&gt;"",$B213&lt;&gt;"Exterior",COUNTIF($B$6:B213,$B213)=1,COUNTIF($R$6:$R$12,$B213)=0),$B213,""),"")</f>
      </c>
      <c r="Q213">
        <f>IFERROR(IF(AND($C213&lt;&gt;"",$C213&lt;&gt;"Exterior",COUNTIF($C$6:C213,$C213)=1,COUNTIF($R$6:$R$12,$C213)=0,COUNTIF($B$6:$B$505,$C213)=0),$C213,""),"")</f>
      </c>
      <c r="X213">
        <f>IFERROR(ROUND(MAX(0,SUMIFS($D$6:$D213,$C$6:$C213,$B213,$A$6:$A213,"&lt;="&amp;$A213)*MAX(0,IFERROR(1+VLOOKUP($B213,$F$6:$I$19,4,FALSE),IFERROR(1+INDEX($U$6:$U$505,MATCH($B213,$S$6:$S$505,0)),1)))-(SUMIFS($D$6:$D213,$B$6:$B213,$B213,$A$6:$A213,"&lt;="&amp;$A213)-$D213)),2),0)</f>
      </c>
    </row>
    <row r="214" spans="1:24" x14ac:dyDescent="0.25">
      <c r="A214" s="9">
        <v>46317</v>
      </c>
      <c r="B214" s="10"/>
      <c r="C214" s="10"/>
      <c r="D214" s="11"/>
      <c r="P214">
        <f>IFERROR(IF(AND($B214&lt;&gt;"",$B214&lt;&gt;"Exterior",COUNTIF($B$6:B214,$B214)=1,COUNTIF($R$6:$R$12,$B214)=0),$B214,""),"")</f>
      </c>
      <c r="Q214">
        <f>IFERROR(IF(AND($C214&lt;&gt;"",$C214&lt;&gt;"Exterior",COUNTIF($C$6:C214,$C214)=1,COUNTIF($R$6:$R$12,$C214)=0,COUNTIF($B$6:$B$505,$C214)=0),$C214,""),"")</f>
      </c>
      <c r="X214">
        <f>IFERROR(ROUND(MAX(0,SUMIFS($D$6:$D214,$C$6:$C214,$B214,$A$6:$A214,"&lt;="&amp;$A214)*MAX(0,IFERROR(1+VLOOKUP($B214,$F$6:$I$19,4,FALSE),IFERROR(1+INDEX($U$6:$U$505,MATCH($B214,$S$6:$S$505,0)),1)))-(SUMIFS($D$6:$D214,$B$6:$B214,$B214,$A$6:$A214,"&lt;="&amp;$A214)-$D214)),2),0)</f>
      </c>
    </row>
    <row r="215" spans="1:24" x14ac:dyDescent="0.25">
      <c r="A215" s="9">
        <v>46317</v>
      </c>
      <c r="B215" s="10"/>
      <c r="C215" s="10"/>
      <c r="D215" s="11"/>
      <c r="P215">
        <f>IFERROR(IF(AND($B215&lt;&gt;"",$B215&lt;&gt;"Exterior",COUNTIF($B$6:B215,$B215)=1,COUNTIF($R$6:$R$12,$B215)=0),$B215,""),"")</f>
      </c>
      <c r="Q215">
        <f>IFERROR(IF(AND($C215&lt;&gt;"",$C215&lt;&gt;"Exterior",COUNTIF($C$6:C215,$C215)=1,COUNTIF($R$6:$R$12,$C215)=0,COUNTIF($B$6:$B$505,$C215)=0),$C215,""),"")</f>
      </c>
      <c r="X215">
        <f>IFERROR(ROUND(MAX(0,SUMIFS($D$6:$D215,$C$6:$C215,$B215,$A$6:$A215,"&lt;="&amp;$A215)*MAX(0,IFERROR(1+VLOOKUP($B215,$F$6:$I$19,4,FALSE),IFERROR(1+INDEX($U$6:$U$505,MATCH($B215,$S$6:$S$505,0)),1)))-(SUMIFS($D$6:$D215,$B$6:$B215,$B215,$A$6:$A215,"&lt;="&amp;$A215)-$D215)),2),0)</f>
      </c>
    </row>
    <row r="216" spans="1:24" x14ac:dyDescent="0.25">
      <c r="A216" s="9">
        <v>46317</v>
      </c>
      <c r="B216" s="10"/>
      <c r="C216" s="10"/>
      <c r="D216" s="11"/>
      <c r="P216">
        <f>IFERROR(IF(AND($B216&lt;&gt;"",$B216&lt;&gt;"Exterior",COUNTIF($B$6:B216,$B216)=1,COUNTIF($R$6:$R$12,$B216)=0),$B216,""),"")</f>
      </c>
      <c r="Q216">
        <f>IFERROR(IF(AND($C216&lt;&gt;"",$C216&lt;&gt;"Exterior",COUNTIF($C$6:C216,$C216)=1,COUNTIF($R$6:$R$12,$C216)=0,COUNTIF($B$6:$B$505,$C216)=0),$C216,""),"")</f>
      </c>
      <c r="X216">
        <f>IFERROR(ROUND(MAX(0,SUMIFS($D$6:$D216,$C$6:$C216,$B216,$A$6:$A216,"&lt;="&amp;$A216)*MAX(0,IFERROR(1+VLOOKUP($B216,$F$6:$I$19,4,FALSE),IFERROR(1+INDEX($U$6:$U$505,MATCH($B216,$S$6:$S$505,0)),1)))-(SUMIFS($D$6:$D216,$B$6:$B216,$B216,$A$6:$A216,"&lt;="&amp;$A216)-$D216)),2),0)</f>
      </c>
    </row>
    <row r="217" spans="1:24" x14ac:dyDescent="0.25">
      <c r="A217" s="9">
        <v>46317</v>
      </c>
      <c r="B217" s="10"/>
      <c r="C217" s="10"/>
      <c r="D217" s="11"/>
      <c r="P217">
        <f>IFERROR(IF(AND($B217&lt;&gt;"",$B217&lt;&gt;"Exterior",COUNTIF($B$6:B217,$B217)=1,COUNTIF($R$6:$R$12,$B217)=0),$B217,""),"")</f>
      </c>
      <c r="Q217">
        <f>IFERROR(IF(AND($C217&lt;&gt;"",$C217&lt;&gt;"Exterior",COUNTIF($C$6:C217,$C217)=1,COUNTIF($R$6:$R$12,$C217)=0,COUNTIF($B$6:$B$505,$C217)=0),$C217,""),"")</f>
      </c>
      <c r="X217">
        <f>IFERROR(ROUND(MAX(0,SUMIFS($D$6:$D217,$C$6:$C217,$B217,$A$6:$A217,"&lt;="&amp;$A217)*MAX(0,IFERROR(1+VLOOKUP($B217,$F$6:$I$19,4,FALSE),IFERROR(1+INDEX($U$6:$U$505,MATCH($B217,$S$6:$S$505,0)),1)))-(SUMIFS($D$6:$D217,$B$6:$B217,$B217,$A$6:$A217,"&lt;="&amp;$A217)-$D217)),2),0)</f>
      </c>
    </row>
    <row r="218" spans="1:24" x14ac:dyDescent="0.25">
      <c r="A218" s="9">
        <v>46317</v>
      </c>
      <c r="B218" s="10"/>
      <c r="C218" s="10"/>
      <c r="D218" s="11"/>
      <c r="P218">
        <f>IFERROR(IF(AND($B218&lt;&gt;"",$B218&lt;&gt;"Exterior",COUNTIF($B$6:B218,$B218)=1,COUNTIF($R$6:$R$12,$B218)=0),$B218,""),"")</f>
      </c>
      <c r="Q218">
        <f>IFERROR(IF(AND($C218&lt;&gt;"",$C218&lt;&gt;"Exterior",COUNTIF($C$6:C218,$C218)=1,COUNTIF($R$6:$R$12,$C218)=0,COUNTIF($B$6:$B$505,$C218)=0),$C218,""),"")</f>
      </c>
      <c r="X218">
        <f>IFERROR(ROUND(MAX(0,SUMIFS($D$6:$D218,$C$6:$C218,$B218,$A$6:$A218,"&lt;="&amp;$A218)*MAX(0,IFERROR(1+VLOOKUP($B218,$F$6:$I$19,4,FALSE),IFERROR(1+INDEX($U$6:$U$505,MATCH($B218,$S$6:$S$505,0)),1)))-(SUMIFS($D$6:$D218,$B$6:$B218,$B218,$A$6:$A218,"&lt;="&amp;$A218)-$D218)),2),0)</f>
      </c>
    </row>
    <row r="219" spans="1:24" x14ac:dyDescent="0.25">
      <c r="A219" s="9">
        <v>46317</v>
      </c>
      <c r="B219" s="10"/>
      <c r="C219" s="10"/>
      <c r="D219" s="11"/>
      <c r="P219">
        <f>IFERROR(IF(AND($B219&lt;&gt;"",$B219&lt;&gt;"Exterior",COUNTIF($B$6:B219,$B219)=1,COUNTIF($R$6:$R$12,$B219)=0),$B219,""),"")</f>
      </c>
      <c r="Q219">
        <f>IFERROR(IF(AND($C219&lt;&gt;"",$C219&lt;&gt;"Exterior",COUNTIF($C$6:C219,$C219)=1,COUNTIF($R$6:$R$12,$C219)=0,COUNTIF($B$6:$B$505,$C219)=0),$C219,""),"")</f>
      </c>
      <c r="X219">
        <f>IFERROR(ROUND(MAX(0,SUMIFS($D$6:$D219,$C$6:$C219,$B219,$A$6:$A219,"&lt;="&amp;$A219)*MAX(0,IFERROR(1+VLOOKUP($B219,$F$6:$I$19,4,FALSE),IFERROR(1+INDEX($U$6:$U$505,MATCH($B219,$S$6:$S$505,0)),1)))-(SUMIFS($D$6:$D219,$B$6:$B219,$B219,$A$6:$A219,"&lt;="&amp;$A219)-$D219)),2),0)</f>
      </c>
    </row>
    <row r="220" spans="1:24" x14ac:dyDescent="0.25">
      <c r="A220" s="9">
        <v>46317</v>
      </c>
      <c r="B220" s="10"/>
      <c r="C220" s="10"/>
      <c r="D220" s="11"/>
      <c r="P220">
        <f>IFERROR(IF(AND($B220&lt;&gt;"",$B220&lt;&gt;"Exterior",COUNTIF($B$6:B220,$B220)=1,COUNTIF($R$6:$R$12,$B220)=0),$B220,""),"")</f>
      </c>
      <c r="Q220">
        <f>IFERROR(IF(AND($C220&lt;&gt;"",$C220&lt;&gt;"Exterior",COUNTIF($C$6:C220,$C220)=1,COUNTIF($R$6:$R$12,$C220)=0,COUNTIF($B$6:$B$505,$C220)=0),$C220,""),"")</f>
      </c>
      <c r="X220">
        <f>IFERROR(ROUND(MAX(0,SUMIFS($D$6:$D220,$C$6:$C220,$B220,$A$6:$A220,"&lt;="&amp;$A220)*MAX(0,IFERROR(1+VLOOKUP($B220,$F$6:$I$19,4,FALSE),IFERROR(1+INDEX($U$6:$U$505,MATCH($B220,$S$6:$S$505,0)),1)))-(SUMIFS($D$6:$D220,$B$6:$B220,$B220,$A$6:$A220,"&lt;="&amp;$A220)-$D220)),2),0)</f>
      </c>
    </row>
    <row r="221" spans="1:24" x14ac:dyDescent="0.25">
      <c r="A221" s="9">
        <v>46317</v>
      </c>
      <c r="B221" s="10"/>
      <c r="C221" s="10"/>
      <c r="D221" s="11"/>
      <c r="P221">
        <f>IFERROR(IF(AND($B221&lt;&gt;"",$B221&lt;&gt;"Exterior",COUNTIF($B$6:B221,$B221)=1,COUNTIF($R$6:$R$12,$B221)=0),$B221,""),"")</f>
      </c>
      <c r="Q221">
        <f>IFERROR(IF(AND($C221&lt;&gt;"",$C221&lt;&gt;"Exterior",COUNTIF($C$6:C221,$C221)=1,COUNTIF($R$6:$R$12,$C221)=0,COUNTIF($B$6:$B$505,$C221)=0),$C221,""),"")</f>
      </c>
      <c r="X221">
        <f>IFERROR(ROUND(MAX(0,SUMIFS($D$6:$D221,$C$6:$C221,$B221,$A$6:$A221,"&lt;="&amp;$A221)*MAX(0,IFERROR(1+VLOOKUP($B221,$F$6:$I$19,4,FALSE),IFERROR(1+INDEX($U$6:$U$505,MATCH($B221,$S$6:$S$505,0)),1)))-(SUMIFS($D$6:$D221,$B$6:$B221,$B221,$A$6:$A221,"&lt;="&amp;$A221)-$D221)),2),0)</f>
      </c>
    </row>
    <row r="222" spans="1:24" x14ac:dyDescent="0.25">
      <c r="A222" s="9">
        <v>46317</v>
      </c>
      <c r="B222" s="10"/>
      <c r="C222" s="10"/>
      <c r="D222" s="11"/>
      <c r="P222">
        <f>IFERROR(IF(AND($B222&lt;&gt;"",$B222&lt;&gt;"Exterior",COUNTIF($B$6:B222,$B222)=1,COUNTIF($R$6:$R$12,$B222)=0),$B222,""),"")</f>
      </c>
      <c r="Q222">
        <f>IFERROR(IF(AND($C222&lt;&gt;"",$C222&lt;&gt;"Exterior",COUNTIF($C$6:C222,$C222)=1,COUNTIF($R$6:$R$12,$C222)=0,COUNTIF($B$6:$B$505,$C222)=0),$C222,""),"")</f>
      </c>
      <c r="X222">
        <f>IFERROR(ROUND(MAX(0,SUMIFS($D$6:$D222,$C$6:$C222,$B222,$A$6:$A222,"&lt;="&amp;$A222)*MAX(0,IFERROR(1+VLOOKUP($B222,$F$6:$I$19,4,FALSE),IFERROR(1+INDEX($U$6:$U$505,MATCH($B222,$S$6:$S$505,0)),1)))-(SUMIFS($D$6:$D222,$B$6:$B222,$B222,$A$6:$A222,"&lt;="&amp;$A222)-$D222)),2),0)</f>
      </c>
    </row>
    <row r="223" spans="1:24" x14ac:dyDescent="0.25">
      <c r="A223" s="9">
        <v>46317</v>
      </c>
      <c r="B223" s="10"/>
      <c r="C223" s="10"/>
      <c r="D223" s="11"/>
      <c r="P223">
        <f>IFERROR(IF(AND($B223&lt;&gt;"",$B223&lt;&gt;"Exterior",COUNTIF($B$6:B223,$B223)=1,COUNTIF($R$6:$R$12,$B223)=0),$B223,""),"")</f>
      </c>
      <c r="Q223">
        <f>IFERROR(IF(AND($C223&lt;&gt;"",$C223&lt;&gt;"Exterior",COUNTIF($C$6:C223,$C223)=1,COUNTIF($R$6:$R$12,$C223)=0,COUNTIF($B$6:$B$505,$C223)=0),$C223,""),"")</f>
      </c>
      <c r="X223">
        <f>IFERROR(ROUND(MAX(0,SUMIFS($D$6:$D223,$C$6:$C223,$B223,$A$6:$A223,"&lt;="&amp;$A223)*MAX(0,IFERROR(1+VLOOKUP($B223,$F$6:$I$19,4,FALSE),IFERROR(1+INDEX($U$6:$U$505,MATCH($B223,$S$6:$S$505,0)),1)))-(SUMIFS($D$6:$D223,$B$6:$B223,$B223,$A$6:$A223,"&lt;="&amp;$A223)-$D223)),2),0)</f>
      </c>
    </row>
    <row r="224" spans="1:24" x14ac:dyDescent="0.25">
      <c r="A224" s="9">
        <v>46317</v>
      </c>
      <c r="B224" s="10"/>
      <c r="C224" s="10"/>
      <c r="D224" s="11"/>
      <c r="P224">
        <f>IFERROR(IF(AND($B224&lt;&gt;"",$B224&lt;&gt;"Exterior",COUNTIF($B$6:B224,$B224)=1,COUNTIF($R$6:$R$12,$B224)=0),$B224,""),"")</f>
      </c>
      <c r="Q224">
        <f>IFERROR(IF(AND($C224&lt;&gt;"",$C224&lt;&gt;"Exterior",COUNTIF($C$6:C224,$C224)=1,COUNTIF($R$6:$R$12,$C224)=0,COUNTIF($B$6:$B$505,$C224)=0),$C224,""),"")</f>
      </c>
      <c r="X224">
        <f>IFERROR(ROUND(MAX(0,SUMIFS($D$6:$D224,$C$6:$C224,$B224,$A$6:$A224,"&lt;="&amp;$A224)*MAX(0,IFERROR(1+VLOOKUP($B224,$F$6:$I$19,4,FALSE),IFERROR(1+INDEX($U$6:$U$505,MATCH($B224,$S$6:$S$505,0)),1)))-(SUMIFS($D$6:$D224,$B$6:$B224,$B224,$A$6:$A224,"&lt;="&amp;$A224)-$D224)),2),0)</f>
      </c>
    </row>
    <row r="225" spans="1:24" x14ac:dyDescent="0.25">
      <c r="A225" s="9">
        <v>46317</v>
      </c>
      <c r="B225" s="10"/>
      <c r="C225" s="10"/>
      <c r="D225" s="11"/>
      <c r="P225">
        <f>IFERROR(IF(AND($B225&lt;&gt;"",$B225&lt;&gt;"Exterior",COUNTIF($B$6:B225,$B225)=1,COUNTIF($R$6:$R$12,$B225)=0),$B225,""),"")</f>
      </c>
      <c r="Q225">
        <f>IFERROR(IF(AND($C225&lt;&gt;"",$C225&lt;&gt;"Exterior",COUNTIF($C$6:C225,$C225)=1,COUNTIF($R$6:$R$12,$C225)=0,COUNTIF($B$6:$B$505,$C225)=0),$C225,""),"")</f>
      </c>
      <c r="X225">
        <f>IFERROR(ROUND(MAX(0,SUMIFS($D$6:$D225,$C$6:$C225,$B225,$A$6:$A225,"&lt;="&amp;$A225)*MAX(0,IFERROR(1+VLOOKUP($B225,$F$6:$I$19,4,FALSE),IFERROR(1+INDEX($U$6:$U$505,MATCH($B225,$S$6:$S$505,0)),1)))-(SUMIFS($D$6:$D225,$B$6:$B225,$B225,$A$6:$A225,"&lt;="&amp;$A225)-$D225)),2),0)</f>
      </c>
    </row>
    <row r="226" spans="1:24" x14ac:dyDescent="0.25">
      <c r="A226" s="9">
        <v>46317</v>
      </c>
      <c r="B226" s="10"/>
      <c r="C226" s="10"/>
      <c r="D226" s="11"/>
      <c r="P226">
        <f>IFERROR(IF(AND($B226&lt;&gt;"",$B226&lt;&gt;"Exterior",COUNTIF($B$6:B226,$B226)=1,COUNTIF($R$6:$R$12,$B226)=0),$B226,""),"")</f>
      </c>
      <c r="Q226">
        <f>IFERROR(IF(AND($C226&lt;&gt;"",$C226&lt;&gt;"Exterior",COUNTIF($C$6:C226,$C226)=1,COUNTIF($R$6:$R$12,$C226)=0,COUNTIF($B$6:$B$505,$C226)=0),$C226,""),"")</f>
      </c>
      <c r="X226">
        <f>IFERROR(ROUND(MAX(0,SUMIFS($D$6:$D226,$C$6:$C226,$B226,$A$6:$A226,"&lt;="&amp;$A226)*MAX(0,IFERROR(1+VLOOKUP($B226,$F$6:$I$19,4,FALSE),IFERROR(1+INDEX($U$6:$U$505,MATCH($B226,$S$6:$S$505,0)),1)))-(SUMIFS($D$6:$D226,$B$6:$B226,$B226,$A$6:$A226,"&lt;="&amp;$A226)-$D226)),2),0)</f>
      </c>
    </row>
    <row r="227" spans="1:24" x14ac:dyDescent="0.25">
      <c r="A227" s="9">
        <v>46317</v>
      </c>
      <c r="B227" s="10"/>
      <c r="C227" s="10"/>
      <c r="D227" s="11"/>
      <c r="P227">
        <f>IFERROR(IF(AND($B227&lt;&gt;"",$B227&lt;&gt;"Exterior",COUNTIF($B$6:B227,$B227)=1,COUNTIF($R$6:$R$12,$B227)=0),$B227,""),"")</f>
      </c>
      <c r="Q227">
        <f>IFERROR(IF(AND($C227&lt;&gt;"",$C227&lt;&gt;"Exterior",COUNTIF($C$6:C227,$C227)=1,COUNTIF($R$6:$R$12,$C227)=0,COUNTIF($B$6:$B$505,$C227)=0),$C227,""),"")</f>
      </c>
      <c r="X227">
        <f>IFERROR(ROUND(MAX(0,SUMIFS($D$6:$D227,$C$6:$C227,$B227,$A$6:$A227,"&lt;="&amp;$A227)*MAX(0,IFERROR(1+VLOOKUP($B227,$F$6:$I$19,4,FALSE),IFERROR(1+INDEX($U$6:$U$505,MATCH($B227,$S$6:$S$505,0)),1)))-(SUMIFS($D$6:$D227,$B$6:$B227,$B227,$A$6:$A227,"&lt;="&amp;$A227)-$D227)),2),0)</f>
      </c>
    </row>
    <row r="228" spans="1:24" x14ac:dyDescent="0.25">
      <c r="A228" s="9">
        <v>46317</v>
      </c>
      <c r="B228" s="10"/>
      <c r="C228" s="10"/>
      <c r="D228" s="11"/>
      <c r="P228">
        <f>IFERROR(IF(AND($B228&lt;&gt;"",$B228&lt;&gt;"Exterior",COUNTIF($B$6:B228,$B228)=1,COUNTIF($R$6:$R$12,$B228)=0),$B228,""),"")</f>
      </c>
      <c r="Q228">
        <f>IFERROR(IF(AND($C228&lt;&gt;"",$C228&lt;&gt;"Exterior",COUNTIF($C$6:C228,$C228)=1,COUNTIF($R$6:$R$12,$C228)=0,COUNTIF($B$6:$B$505,$C228)=0),$C228,""),"")</f>
      </c>
      <c r="X228">
        <f>IFERROR(ROUND(MAX(0,SUMIFS($D$6:$D228,$C$6:$C228,$B228,$A$6:$A228,"&lt;="&amp;$A228)*MAX(0,IFERROR(1+VLOOKUP($B228,$F$6:$I$19,4,FALSE),IFERROR(1+INDEX($U$6:$U$505,MATCH($B228,$S$6:$S$505,0)),1)))-(SUMIFS($D$6:$D228,$B$6:$B228,$B228,$A$6:$A228,"&lt;="&amp;$A228)-$D228)),2),0)</f>
      </c>
    </row>
    <row r="229" spans="1:24" x14ac:dyDescent="0.25">
      <c r="A229" s="9">
        <v>46317</v>
      </c>
      <c r="B229" s="10"/>
      <c r="C229" s="10"/>
      <c r="D229" s="11"/>
      <c r="P229">
        <f>IFERROR(IF(AND($B229&lt;&gt;"",$B229&lt;&gt;"Exterior",COUNTIF($B$6:B229,$B229)=1,COUNTIF($R$6:$R$12,$B229)=0),$B229,""),"")</f>
      </c>
      <c r="Q229">
        <f>IFERROR(IF(AND($C229&lt;&gt;"",$C229&lt;&gt;"Exterior",COUNTIF($C$6:C229,$C229)=1,COUNTIF($R$6:$R$12,$C229)=0,COUNTIF($B$6:$B$505,$C229)=0),$C229,""),"")</f>
      </c>
      <c r="X229">
        <f>IFERROR(ROUND(MAX(0,SUMIFS($D$6:$D229,$C$6:$C229,$B229,$A$6:$A229,"&lt;="&amp;$A229)*MAX(0,IFERROR(1+VLOOKUP($B229,$F$6:$I$19,4,FALSE),IFERROR(1+INDEX($U$6:$U$505,MATCH($B229,$S$6:$S$505,0)),1)))-(SUMIFS($D$6:$D229,$B$6:$B229,$B229,$A$6:$A229,"&lt;="&amp;$A229)-$D229)),2),0)</f>
      </c>
    </row>
    <row r="230" spans="1:24" x14ac:dyDescent="0.25">
      <c r="A230" s="9">
        <v>46317</v>
      </c>
      <c r="B230" s="10"/>
      <c r="C230" s="10"/>
      <c r="D230" s="11"/>
      <c r="P230">
        <f>IFERROR(IF(AND($B230&lt;&gt;"",$B230&lt;&gt;"Exterior",COUNTIF($B$6:B230,$B230)=1,COUNTIF($R$6:$R$12,$B230)=0),$B230,""),"")</f>
      </c>
      <c r="Q230">
        <f>IFERROR(IF(AND($C230&lt;&gt;"",$C230&lt;&gt;"Exterior",COUNTIF($C$6:C230,$C230)=1,COUNTIF($R$6:$R$12,$C230)=0,COUNTIF($B$6:$B$505,$C230)=0),$C230,""),"")</f>
      </c>
      <c r="X230">
        <f>IFERROR(ROUND(MAX(0,SUMIFS($D$6:$D230,$C$6:$C230,$B230,$A$6:$A230,"&lt;="&amp;$A230)*MAX(0,IFERROR(1+VLOOKUP($B230,$F$6:$I$19,4,FALSE),IFERROR(1+INDEX($U$6:$U$505,MATCH($B230,$S$6:$S$505,0)),1)))-(SUMIFS($D$6:$D230,$B$6:$B230,$B230,$A$6:$A230,"&lt;="&amp;$A230)-$D230)),2),0)</f>
      </c>
    </row>
    <row r="231" spans="1:24" x14ac:dyDescent="0.25">
      <c r="A231" s="9">
        <v>46317</v>
      </c>
      <c r="B231" s="10"/>
      <c r="C231" s="10"/>
      <c r="D231" s="11"/>
      <c r="P231">
        <f>IFERROR(IF(AND($B231&lt;&gt;"",$B231&lt;&gt;"Exterior",COUNTIF($B$6:B231,$B231)=1,COUNTIF($R$6:$R$12,$B231)=0),$B231,""),"")</f>
      </c>
      <c r="Q231">
        <f>IFERROR(IF(AND($C231&lt;&gt;"",$C231&lt;&gt;"Exterior",COUNTIF($C$6:C231,$C231)=1,COUNTIF($R$6:$R$12,$C231)=0,COUNTIF($B$6:$B$505,$C231)=0),$C231,""),"")</f>
      </c>
      <c r="X231">
        <f>IFERROR(ROUND(MAX(0,SUMIFS($D$6:$D231,$C$6:$C231,$B231,$A$6:$A231,"&lt;="&amp;$A231)*MAX(0,IFERROR(1+VLOOKUP($B231,$F$6:$I$19,4,FALSE),IFERROR(1+INDEX($U$6:$U$505,MATCH($B231,$S$6:$S$505,0)),1)))-(SUMIFS($D$6:$D231,$B$6:$B231,$B231,$A$6:$A231,"&lt;="&amp;$A231)-$D231)),2),0)</f>
      </c>
    </row>
    <row r="232" spans="1:24" x14ac:dyDescent="0.25">
      <c r="A232" s="9">
        <v>46317</v>
      </c>
      <c r="B232" s="10"/>
      <c r="C232" s="10"/>
      <c r="D232" s="11"/>
      <c r="P232">
        <f>IFERROR(IF(AND($B232&lt;&gt;"",$B232&lt;&gt;"Exterior",COUNTIF($B$6:B232,$B232)=1,COUNTIF($R$6:$R$12,$B232)=0),$B232,""),"")</f>
      </c>
      <c r="Q232">
        <f>IFERROR(IF(AND($C232&lt;&gt;"",$C232&lt;&gt;"Exterior",COUNTIF($C$6:C232,$C232)=1,COUNTIF($R$6:$R$12,$C232)=0,COUNTIF($B$6:$B$505,$C232)=0),$C232,""),"")</f>
      </c>
      <c r="X232">
        <f>IFERROR(ROUND(MAX(0,SUMIFS($D$6:$D232,$C$6:$C232,$B232,$A$6:$A232,"&lt;="&amp;$A232)*MAX(0,IFERROR(1+VLOOKUP($B232,$F$6:$I$19,4,FALSE),IFERROR(1+INDEX($U$6:$U$505,MATCH($B232,$S$6:$S$505,0)),1)))-(SUMIFS($D$6:$D232,$B$6:$B232,$B232,$A$6:$A232,"&lt;="&amp;$A232)-$D232)),2),0)</f>
      </c>
    </row>
    <row r="233" spans="1:24" x14ac:dyDescent="0.25">
      <c r="A233" s="9">
        <v>46317</v>
      </c>
      <c r="B233" s="10"/>
      <c r="C233" s="10"/>
      <c r="D233" s="11"/>
      <c r="P233">
        <f>IFERROR(IF(AND($B233&lt;&gt;"",$B233&lt;&gt;"Exterior",COUNTIF($B$6:B233,$B233)=1,COUNTIF($R$6:$R$12,$B233)=0),$B233,""),"")</f>
      </c>
      <c r="Q233">
        <f>IFERROR(IF(AND($C233&lt;&gt;"",$C233&lt;&gt;"Exterior",COUNTIF($C$6:C233,$C233)=1,COUNTIF($R$6:$R$12,$C233)=0,COUNTIF($B$6:$B$505,$C233)=0),$C233,""),"")</f>
      </c>
      <c r="X233">
        <f>IFERROR(ROUND(MAX(0,SUMIFS($D$6:$D233,$C$6:$C233,$B233,$A$6:$A233,"&lt;="&amp;$A233)*MAX(0,IFERROR(1+VLOOKUP($B233,$F$6:$I$19,4,FALSE),IFERROR(1+INDEX($U$6:$U$505,MATCH($B233,$S$6:$S$505,0)),1)))-(SUMIFS($D$6:$D233,$B$6:$B233,$B233,$A$6:$A233,"&lt;="&amp;$A233)-$D233)),2),0)</f>
      </c>
    </row>
    <row r="234" spans="1:24" x14ac:dyDescent="0.25">
      <c r="A234" s="9">
        <v>46317</v>
      </c>
      <c r="B234" s="10"/>
      <c r="C234" s="10"/>
      <c r="D234" s="11"/>
      <c r="P234">
        <f>IFERROR(IF(AND($B234&lt;&gt;"",$B234&lt;&gt;"Exterior",COUNTIF($B$6:B234,$B234)=1,COUNTIF($R$6:$R$12,$B234)=0),$B234,""),"")</f>
      </c>
      <c r="Q234">
        <f>IFERROR(IF(AND($C234&lt;&gt;"",$C234&lt;&gt;"Exterior",COUNTIF($C$6:C234,$C234)=1,COUNTIF($R$6:$R$12,$C234)=0,COUNTIF($B$6:$B$505,$C234)=0),$C234,""),"")</f>
      </c>
      <c r="X234">
        <f>IFERROR(ROUND(MAX(0,SUMIFS($D$6:$D234,$C$6:$C234,$B234,$A$6:$A234,"&lt;="&amp;$A234)*MAX(0,IFERROR(1+VLOOKUP($B234,$F$6:$I$19,4,FALSE),IFERROR(1+INDEX($U$6:$U$505,MATCH($B234,$S$6:$S$505,0)),1)))-(SUMIFS($D$6:$D234,$B$6:$B234,$B234,$A$6:$A234,"&lt;="&amp;$A234)-$D234)),2),0)</f>
      </c>
    </row>
    <row r="235" spans="1:24" x14ac:dyDescent="0.25">
      <c r="A235" s="9">
        <v>46317</v>
      </c>
      <c r="B235" s="10"/>
      <c r="C235" s="10"/>
      <c r="D235" s="11"/>
      <c r="P235">
        <f>IFERROR(IF(AND($B235&lt;&gt;"",$B235&lt;&gt;"Exterior",COUNTIF($B$6:B235,$B235)=1,COUNTIF($R$6:$R$12,$B235)=0),$B235,""),"")</f>
      </c>
      <c r="Q235">
        <f>IFERROR(IF(AND($C235&lt;&gt;"",$C235&lt;&gt;"Exterior",COUNTIF($C$6:C235,$C235)=1,COUNTIF($R$6:$R$12,$C235)=0,COUNTIF($B$6:$B$505,$C235)=0),$C235,""),"")</f>
      </c>
      <c r="X235">
        <f>IFERROR(ROUND(MAX(0,SUMIFS($D$6:$D235,$C$6:$C235,$B235,$A$6:$A235,"&lt;="&amp;$A235)*MAX(0,IFERROR(1+VLOOKUP($B235,$F$6:$I$19,4,FALSE),IFERROR(1+INDEX($U$6:$U$505,MATCH($B235,$S$6:$S$505,0)),1)))-(SUMIFS($D$6:$D235,$B$6:$B235,$B235,$A$6:$A235,"&lt;="&amp;$A235)-$D235)),2),0)</f>
      </c>
    </row>
    <row r="236" spans="1:24" x14ac:dyDescent="0.25">
      <c r="A236" s="9">
        <v>46317</v>
      </c>
      <c r="B236" s="10"/>
      <c r="C236" s="10"/>
      <c r="D236" s="11"/>
      <c r="P236">
        <f>IFERROR(IF(AND($B236&lt;&gt;"",$B236&lt;&gt;"Exterior",COUNTIF($B$6:B236,$B236)=1,COUNTIF($R$6:$R$12,$B236)=0),$B236,""),"")</f>
      </c>
      <c r="Q236">
        <f>IFERROR(IF(AND($C236&lt;&gt;"",$C236&lt;&gt;"Exterior",COUNTIF($C$6:C236,$C236)=1,COUNTIF($R$6:$R$12,$C236)=0,COUNTIF($B$6:$B$505,$C236)=0),$C236,""),"")</f>
      </c>
      <c r="X236">
        <f>IFERROR(ROUND(MAX(0,SUMIFS($D$6:$D236,$C$6:$C236,$B236,$A$6:$A236,"&lt;="&amp;$A236)*MAX(0,IFERROR(1+VLOOKUP($B236,$F$6:$I$19,4,FALSE),IFERROR(1+INDEX($U$6:$U$505,MATCH($B236,$S$6:$S$505,0)),1)))-(SUMIFS($D$6:$D236,$B$6:$B236,$B236,$A$6:$A236,"&lt;="&amp;$A236)-$D236)),2),0)</f>
      </c>
    </row>
    <row r="237" spans="1:24" x14ac:dyDescent="0.25">
      <c r="A237" s="9">
        <v>46317</v>
      </c>
      <c r="B237" s="10"/>
      <c r="C237" s="10"/>
      <c r="D237" s="11"/>
      <c r="P237">
        <f>IFERROR(IF(AND($B237&lt;&gt;"",$B237&lt;&gt;"Exterior",COUNTIF($B$6:B237,$B237)=1,COUNTIF($R$6:$R$12,$B237)=0),$B237,""),"")</f>
      </c>
      <c r="Q237">
        <f>IFERROR(IF(AND($C237&lt;&gt;"",$C237&lt;&gt;"Exterior",COUNTIF($C$6:C237,$C237)=1,COUNTIF($R$6:$R$12,$C237)=0,COUNTIF($B$6:$B$505,$C237)=0),$C237,""),"")</f>
      </c>
      <c r="X237">
        <f>IFERROR(ROUND(MAX(0,SUMIFS($D$6:$D237,$C$6:$C237,$B237,$A$6:$A237,"&lt;="&amp;$A237)*MAX(0,IFERROR(1+VLOOKUP($B237,$F$6:$I$19,4,FALSE),IFERROR(1+INDEX($U$6:$U$505,MATCH($B237,$S$6:$S$505,0)),1)))-(SUMIFS($D$6:$D237,$B$6:$B237,$B237,$A$6:$A237,"&lt;="&amp;$A237)-$D237)),2),0)</f>
      </c>
    </row>
    <row r="238" spans="1:24" x14ac:dyDescent="0.25">
      <c r="A238" s="9">
        <v>46317</v>
      </c>
      <c r="B238" s="10"/>
      <c r="C238" s="10"/>
      <c r="D238" s="11"/>
      <c r="P238">
        <f>IFERROR(IF(AND($B238&lt;&gt;"",$B238&lt;&gt;"Exterior",COUNTIF($B$6:B238,$B238)=1,COUNTIF($R$6:$R$12,$B238)=0),$B238,""),"")</f>
      </c>
      <c r="Q238">
        <f>IFERROR(IF(AND($C238&lt;&gt;"",$C238&lt;&gt;"Exterior",COUNTIF($C$6:C238,$C238)=1,COUNTIF($R$6:$R$12,$C238)=0,COUNTIF($B$6:$B$505,$C238)=0),$C238,""),"")</f>
      </c>
      <c r="X238">
        <f>IFERROR(ROUND(MAX(0,SUMIFS($D$6:$D238,$C$6:$C238,$B238,$A$6:$A238,"&lt;="&amp;$A238)*MAX(0,IFERROR(1+VLOOKUP($B238,$F$6:$I$19,4,FALSE),IFERROR(1+INDEX($U$6:$U$505,MATCH($B238,$S$6:$S$505,0)),1)))-(SUMIFS($D$6:$D238,$B$6:$B238,$B238,$A$6:$A238,"&lt;="&amp;$A238)-$D238)),2),0)</f>
      </c>
    </row>
    <row r="239" spans="1:24" x14ac:dyDescent="0.25">
      <c r="A239" s="9">
        <v>46317</v>
      </c>
      <c r="B239" s="10"/>
      <c r="C239" s="10"/>
      <c r="D239" s="11"/>
      <c r="P239">
        <f>IFERROR(IF(AND($B239&lt;&gt;"",$B239&lt;&gt;"Exterior",COUNTIF($B$6:B239,$B239)=1,COUNTIF($R$6:$R$12,$B239)=0),$B239,""),"")</f>
      </c>
      <c r="Q239">
        <f>IFERROR(IF(AND($C239&lt;&gt;"",$C239&lt;&gt;"Exterior",COUNTIF($C$6:C239,$C239)=1,COUNTIF($R$6:$R$12,$C239)=0,COUNTIF($B$6:$B$505,$C239)=0),$C239,""),"")</f>
      </c>
      <c r="X239">
        <f>IFERROR(ROUND(MAX(0,SUMIFS($D$6:$D239,$C$6:$C239,$B239,$A$6:$A239,"&lt;="&amp;$A239)*MAX(0,IFERROR(1+VLOOKUP($B239,$F$6:$I$19,4,FALSE),IFERROR(1+INDEX($U$6:$U$505,MATCH($B239,$S$6:$S$505,0)),1)))-(SUMIFS($D$6:$D239,$B$6:$B239,$B239,$A$6:$A239,"&lt;="&amp;$A239)-$D239)),2),0)</f>
      </c>
    </row>
    <row r="240" spans="1:24" x14ac:dyDescent="0.25">
      <c r="A240" s="9">
        <v>46317</v>
      </c>
      <c r="B240" s="10"/>
      <c r="C240" s="10"/>
      <c r="D240" s="11"/>
      <c r="P240">
        <f>IFERROR(IF(AND($B240&lt;&gt;"",$B240&lt;&gt;"Exterior",COUNTIF($B$6:B240,$B240)=1,COUNTIF($R$6:$R$12,$B240)=0),$B240,""),"")</f>
      </c>
      <c r="Q240">
        <f>IFERROR(IF(AND($C240&lt;&gt;"",$C240&lt;&gt;"Exterior",COUNTIF($C$6:C240,$C240)=1,COUNTIF($R$6:$R$12,$C240)=0,COUNTIF($B$6:$B$505,$C240)=0),$C240,""),"")</f>
      </c>
      <c r="X240">
        <f>IFERROR(ROUND(MAX(0,SUMIFS($D$6:$D240,$C$6:$C240,$B240,$A$6:$A240,"&lt;="&amp;$A240)*MAX(0,IFERROR(1+VLOOKUP($B240,$F$6:$I$19,4,FALSE),IFERROR(1+INDEX($U$6:$U$505,MATCH($B240,$S$6:$S$505,0)),1)))-(SUMIFS($D$6:$D240,$B$6:$B240,$B240,$A$6:$A240,"&lt;="&amp;$A240)-$D240)),2),0)</f>
      </c>
    </row>
    <row r="241" spans="1:24" x14ac:dyDescent="0.25">
      <c r="A241" s="9">
        <v>46317</v>
      </c>
      <c r="B241" s="10"/>
      <c r="C241" s="10"/>
      <c r="D241" s="11"/>
      <c r="P241">
        <f>IFERROR(IF(AND($B241&lt;&gt;"",$B241&lt;&gt;"Exterior",COUNTIF($B$6:B241,$B241)=1,COUNTIF($R$6:$R$12,$B241)=0),$B241,""),"")</f>
      </c>
      <c r="Q241">
        <f>IFERROR(IF(AND($C241&lt;&gt;"",$C241&lt;&gt;"Exterior",COUNTIF($C$6:C241,$C241)=1,COUNTIF($R$6:$R$12,$C241)=0,COUNTIF($B$6:$B$505,$C241)=0),$C241,""),"")</f>
      </c>
      <c r="X241">
        <f>IFERROR(ROUND(MAX(0,SUMIFS($D$6:$D241,$C$6:$C241,$B241,$A$6:$A241,"&lt;="&amp;$A241)*MAX(0,IFERROR(1+VLOOKUP($B241,$F$6:$I$19,4,FALSE),IFERROR(1+INDEX($U$6:$U$505,MATCH($B241,$S$6:$S$505,0)),1)))-(SUMIFS($D$6:$D241,$B$6:$B241,$B241,$A$6:$A241,"&lt;="&amp;$A241)-$D241)),2),0)</f>
      </c>
    </row>
    <row r="242" spans="1:24" x14ac:dyDescent="0.25">
      <c r="A242" s="9">
        <v>46317</v>
      </c>
      <c r="B242" s="10"/>
      <c r="C242" s="10"/>
      <c r="D242" s="11"/>
      <c r="P242">
        <f>IFERROR(IF(AND($B242&lt;&gt;"",$B242&lt;&gt;"Exterior",COUNTIF($B$6:B242,$B242)=1,COUNTIF($R$6:$R$12,$B242)=0),$B242,""),"")</f>
      </c>
      <c r="Q242">
        <f>IFERROR(IF(AND($C242&lt;&gt;"",$C242&lt;&gt;"Exterior",COUNTIF($C$6:C242,$C242)=1,COUNTIF($R$6:$R$12,$C242)=0,COUNTIF($B$6:$B$505,$C242)=0),$C242,""),"")</f>
      </c>
      <c r="X242">
        <f>IFERROR(ROUND(MAX(0,SUMIFS($D$6:$D242,$C$6:$C242,$B242,$A$6:$A242,"&lt;="&amp;$A242)*MAX(0,IFERROR(1+VLOOKUP($B242,$F$6:$I$19,4,FALSE),IFERROR(1+INDEX($U$6:$U$505,MATCH($B242,$S$6:$S$505,0)),1)))-(SUMIFS($D$6:$D242,$B$6:$B242,$B242,$A$6:$A242,"&lt;="&amp;$A242)-$D242)),2),0)</f>
      </c>
    </row>
    <row r="243" spans="1:24" x14ac:dyDescent="0.25">
      <c r="A243" s="9">
        <v>46317</v>
      </c>
      <c r="B243" s="10"/>
      <c r="C243" s="10"/>
      <c r="D243" s="11"/>
      <c r="P243">
        <f>IFERROR(IF(AND($B243&lt;&gt;"",$B243&lt;&gt;"Exterior",COUNTIF($B$6:B243,$B243)=1,COUNTIF($R$6:$R$12,$B243)=0),$B243,""),"")</f>
      </c>
      <c r="Q243">
        <f>IFERROR(IF(AND($C243&lt;&gt;"",$C243&lt;&gt;"Exterior",COUNTIF($C$6:C243,$C243)=1,COUNTIF($R$6:$R$12,$C243)=0,COUNTIF($B$6:$B$505,$C243)=0),$C243,""),"")</f>
      </c>
      <c r="X243">
        <f>IFERROR(ROUND(MAX(0,SUMIFS($D$6:$D243,$C$6:$C243,$B243,$A$6:$A243,"&lt;="&amp;$A243)*MAX(0,IFERROR(1+VLOOKUP($B243,$F$6:$I$19,4,FALSE),IFERROR(1+INDEX($U$6:$U$505,MATCH($B243,$S$6:$S$505,0)),1)))-(SUMIFS($D$6:$D243,$B$6:$B243,$B243,$A$6:$A243,"&lt;="&amp;$A243)-$D243)),2),0)</f>
      </c>
    </row>
    <row r="244" spans="1:24" x14ac:dyDescent="0.25">
      <c r="A244" s="9">
        <v>46317</v>
      </c>
      <c r="B244" s="10"/>
      <c r="C244" s="10"/>
      <c r="D244" s="11"/>
      <c r="P244">
        <f>IFERROR(IF(AND($B244&lt;&gt;"",$B244&lt;&gt;"Exterior",COUNTIF($B$6:B244,$B244)=1,COUNTIF($R$6:$R$12,$B244)=0),$B244,""),"")</f>
      </c>
      <c r="Q244">
        <f>IFERROR(IF(AND($C244&lt;&gt;"",$C244&lt;&gt;"Exterior",COUNTIF($C$6:C244,$C244)=1,COUNTIF($R$6:$R$12,$C244)=0,COUNTIF($B$6:$B$505,$C244)=0),$C244,""),"")</f>
      </c>
      <c r="X244">
        <f>IFERROR(ROUND(MAX(0,SUMIFS($D$6:$D244,$C$6:$C244,$B244,$A$6:$A244,"&lt;="&amp;$A244)*MAX(0,IFERROR(1+VLOOKUP($B244,$F$6:$I$19,4,FALSE),IFERROR(1+INDEX($U$6:$U$505,MATCH($B244,$S$6:$S$505,0)),1)))-(SUMIFS($D$6:$D244,$B$6:$B244,$B244,$A$6:$A244,"&lt;="&amp;$A244)-$D244)),2),0)</f>
      </c>
    </row>
    <row r="245" spans="1:24" x14ac:dyDescent="0.25">
      <c r="A245" s="9">
        <v>46317</v>
      </c>
      <c r="B245" s="10"/>
      <c r="C245" s="10"/>
      <c r="D245" s="11"/>
      <c r="P245">
        <f>IFERROR(IF(AND($B245&lt;&gt;"",$B245&lt;&gt;"Exterior",COUNTIF($B$6:B245,$B245)=1,COUNTIF($R$6:$R$12,$B245)=0),$B245,""),"")</f>
      </c>
      <c r="Q245">
        <f>IFERROR(IF(AND($C245&lt;&gt;"",$C245&lt;&gt;"Exterior",COUNTIF($C$6:C245,$C245)=1,COUNTIF($R$6:$R$12,$C245)=0,COUNTIF($B$6:$B$505,$C245)=0),$C245,""),"")</f>
      </c>
      <c r="X245">
        <f>IFERROR(ROUND(MAX(0,SUMIFS($D$6:$D245,$C$6:$C245,$B245,$A$6:$A245,"&lt;="&amp;$A245)*MAX(0,IFERROR(1+VLOOKUP($B245,$F$6:$I$19,4,FALSE),IFERROR(1+INDEX($U$6:$U$505,MATCH($B245,$S$6:$S$505,0)),1)))-(SUMIFS($D$6:$D245,$B$6:$B245,$B245,$A$6:$A245,"&lt;="&amp;$A245)-$D245)),2),0)</f>
      </c>
    </row>
    <row r="246" spans="1:24" x14ac:dyDescent="0.25">
      <c r="A246" s="9">
        <v>46317</v>
      </c>
      <c r="B246" s="10"/>
      <c r="C246" s="10"/>
      <c r="D246" s="11"/>
      <c r="P246">
        <f>IFERROR(IF(AND($B246&lt;&gt;"",$B246&lt;&gt;"Exterior",COUNTIF($B$6:B246,$B246)=1,COUNTIF($R$6:$R$12,$B246)=0),$B246,""),"")</f>
      </c>
      <c r="Q246">
        <f>IFERROR(IF(AND($C246&lt;&gt;"",$C246&lt;&gt;"Exterior",COUNTIF($C$6:C246,$C246)=1,COUNTIF($R$6:$R$12,$C246)=0,COUNTIF($B$6:$B$505,$C246)=0),$C246,""),"")</f>
      </c>
      <c r="X246">
        <f>IFERROR(ROUND(MAX(0,SUMIFS($D$6:$D246,$C$6:$C246,$B246,$A$6:$A246,"&lt;="&amp;$A246)*MAX(0,IFERROR(1+VLOOKUP($B246,$F$6:$I$19,4,FALSE),IFERROR(1+INDEX($U$6:$U$505,MATCH($B246,$S$6:$S$505,0)),1)))-(SUMIFS($D$6:$D246,$B$6:$B246,$B246,$A$6:$A246,"&lt;="&amp;$A246)-$D246)),2),0)</f>
      </c>
    </row>
    <row r="247" spans="1:24" x14ac:dyDescent="0.25">
      <c r="A247" s="9">
        <v>46317</v>
      </c>
      <c r="B247" s="10"/>
      <c r="C247" s="10"/>
      <c r="D247" s="11"/>
      <c r="P247">
        <f>IFERROR(IF(AND($B247&lt;&gt;"",$B247&lt;&gt;"Exterior",COUNTIF($B$6:B247,$B247)=1,COUNTIF($R$6:$R$12,$B247)=0),$B247,""),"")</f>
      </c>
      <c r="Q247">
        <f>IFERROR(IF(AND($C247&lt;&gt;"",$C247&lt;&gt;"Exterior",COUNTIF($C$6:C247,$C247)=1,COUNTIF($R$6:$R$12,$C247)=0,COUNTIF($B$6:$B$505,$C247)=0),$C247,""),"")</f>
      </c>
      <c r="X247">
        <f>IFERROR(ROUND(MAX(0,SUMIFS($D$6:$D247,$C$6:$C247,$B247,$A$6:$A247,"&lt;="&amp;$A247)*MAX(0,IFERROR(1+VLOOKUP($B247,$F$6:$I$19,4,FALSE),IFERROR(1+INDEX($U$6:$U$505,MATCH($B247,$S$6:$S$505,0)),1)))-(SUMIFS($D$6:$D247,$B$6:$B247,$B247,$A$6:$A247,"&lt;="&amp;$A247)-$D247)),2),0)</f>
      </c>
    </row>
    <row r="248" spans="1:24" x14ac:dyDescent="0.25">
      <c r="A248" s="9">
        <v>46317</v>
      </c>
      <c r="B248" s="10"/>
      <c r="C248" s="10"/>
      <c r="D248" s="11"/>
      <c r="P248">
        <f>IFERROR(IF(AND($B248&lt;&gt;"",$B248&lt;&gt;"Exterior",COUNTIF($B$6:B248,$B248)=1,COUNTIF($R$6:$R$12,$B248)=0),$B248,""),"")</f>
      </c>
      <c r="Q248">
        <f>IFERROR(IF(AND($C248&lt;&gt;"",$C248&lt;&gt;"Exterior",COUNTIF($C$6:C248,$C248)=1,COUNTIF($R$6:$R$12,$C248)=0,COUNTIF($B$6:$B$505,$C248)=0),$C248,""),"")</f>
      </c>
      <c r="X248">
        <f>IFERROR(ROUND(MAX(0,SUMIFS($D$6:$D248,$C$6:$C248,$B248,$A$6:$A248,"&lt;="&amp;$A248)*MAX(0,IFERROR(1+VLOOKUP($B248,$F$6:$I$19,4,FALSE),IFERROR(1+INDEX($U$6:$U$505,MATCH($B248,$S$6:$S$505,0)),1)))-(SUMIFS($D$6:$D248,$B$6:$B248,$B248,$A$6:$A248,"&lt;="&amp;$A248)-$D248)),2),0)</f>
      </c>
    </row>
    <row r="249" spans="1:24" x14ac:dyDescent="0.25">
      <c r="A249" s="9">
        <v>46317</v>
      </c>
      <c r="B249" s="10"/>
      <c r="C249" s="10"/>
      <c r="D249" s="11"/>
      <c r="P249">
        <f>IFERROR(IF(AND($B249&lt;&gt;"",$B249&lt;&gt;"Exterior",COUNTIF($B$6:B249,$B249)=1,COUNTIF($R$6:$R$12,$B249)=0),$B249,""),"")</f>
      </c>
      <c r="Q249">
        <f>IFERROR(IF(AND($C249&lt;&gt;"",$C249&lt;&gt;"Exterior",COUNTIF($C$6:C249,$C249)=1,COUNTIF($R$6:$R$12,$C249)=0,COUNTIF($B$6:$B$505,$C249)=0),$C249,""),"")</f>
      </c>
      <c r="X249">
        <f>IFERROR(ROUND(MAX(0,SUMIFS($D$6:$D249,$C$6:$C249,$B249,$A$6:$A249,"&lt;="&amp;$A249)*MAX(0,IFERROR(1+VLOOKUP($B249,$F$6:$I$19,4,FALSE),IFERROR(1+INDEX($U$6:$U$505,MATCH($B249,$S$6:$S$505,0)),1)))-(SUMIFS($D$6:$D249,$B$6:$B249,$B249,$A$6:$A249,"&lt;="&amp;$A249)-$D249)),2),0)</f>
      </c>
    </row>
    <row r="250" spans="1:24" x14ac:dyDescent="0.25">
      <c r="A250" s="9">
        <v>46317</v>
      </c>
      <c r="B250" s="10"/>
      <c r="C250" s="10"/>
      <c r="D250" s="11"/>
      <c r="P250">
        <f>IFERROR(IF(AND($B250&lt;&gt;"",$B250&lt;&gt;"Exterior",COUNTIF($B$6:B250,$B250)=1,COUNTIF($R$6:$R$12,$B250)=0),$B250,""),"")</f>
      </c>
      <c r="Q250">
        <f>IFERROR(IF(AND($C250&lt;&gt;"",$C250&lt;&gt;"Exterior",COUNTIF($C$6:C250,$C250)=1,COUNTIF($R$6:$R$12,$C250)=0,COUNTIF($B$6:$B$505,$C250)=0),$C250,""),"")</f>
      </c>
      <c r="X250">
        <f>IFERROR(ROUND(MAX(0,SUMIFS($D$6:$D250,$C$6:$C250,$B250,$A$6:$A250,"&lt;="&amp;$A250)*MAX(0,IFERROR(1+VLOOKUP($B250,$F$6:$I$19,4,FALSE),IFERROR(1+INDEX($U$6:$U$505,MATCH($B250,$S$6:$S$505,0)),1)))-(SUMIFS($D$6:$D250,$B$6:$B250,$B250,$A$6:$A250,"&lt;="&amp;$A250)-$D250)),2),0)</f>
      </c>
    </row>
    <row r="251" spans="1:24" x14ac:dyDescent="0.25">
      <c r="A251" s="9">
        <v>46317</v>
      </c>
      <c r="B251" s="10"/>
      <c r="C251" s="10"/>
      <c r="D251" s="11"/>
      <c r="P251">
        <f>IFERROR(IF(AND($B251&lt;&gt;"",$B251&lt;&gt;"Exterior",COUNTIF($B$6:B251,$B251)=1,COUNTIF($R$6:$R$12,$B251)=0),$B251,""),"")</f>
      </c>
      <c r="Q251">
        <f>IFERROR(IF(AND($C251&lt;&gt;"",$C251&lt;&gt;"Exterior",COUNTIF($C$6:C251,$C251)=1,COUNTIF($R$6:$R$12,$C251)=0,COUNTIF($B$6:$B$505,$C251)=0),$C251,""),"")</f>
      </c>
      <c r="X251">
        <f>IFERROR(ROUND(MAX(0,SUMIFS($D$6:$D251,$C$6:$C251,$B251,$A$6:$A251,"&lt;="&amp;$A251)*MAX(0,IFERROR(1+VLOOKUP($B251,$F$6:$I$19,4,FALSE),IFERROR(1+INDEX($U$6:$U$505,MATCH($B251,$S$6:$S$505,0)),1)))-(SUMIFS($D$6:$D251,$B$6:$B251,$B251,$A$6:$A251,"&lt;="&amp;$A251)-$D251)),2),0)</f>
      </c>
    </row>
    <row r="252" spans="1:24" x14ac:dyDescent="0.25">
      <c r="A252" s="9">
        <v>46317</v>
      </c>
      <c r="B252" s="10"/>
      <c r="C252" s="10"/>
      <c r="D252" s="11"/>
      <c r="P252">
        <f>IFERROR(IF(AND($B252&lt;&gt;"",$B252&lt;&gt;"Exterior",COUNTIF($B$6:B252,$B252)=1,COUNTIF($R$6:$R$12,$B252)=0),$B252,""),"")</f>
      </c>
      <c r="Q252">
        <f>IFERROR(IF(AND($C252&lt;&gt;"",$C252&lt;&gt;"Exterior",COUNTIF($C$6:C252,$C252)=1,COUNTIF($R$6:$R$12,$C252)=0,COUNTIF($B$6:$B$505,$C252)=0),$C252,""),"")</f>
      </c>
      <c r="X252">
        <f>IFERROR(ROUND(MAX(0,SUMIFS($D$6:$D252,$C$6:$C252,$B252,$A$6:$A252,"&lt;="&amp;$A252)*MAX(0,IFERROR(1+VLOOKUP($B252,$F$6:$I$19,4,FALSE),IFERROR(1+INDEX($U$6:$U$505,MATCH($B252,$S$6:$S$505,0)),1)))-(SUMIFS($D$6:$D252,$B$6:$B252,$B252,$A$6:$A252,"&lt;="&amp;$A252)-$D252)),2),0)</f>
      </c>
    </row>
    <row r="253" spans="1:24" x14ac:dyDescent="0.25">
      <c r="A253" s="9">
        <v>46317</v>
      </c>
      <c r="B253" s="10"/>
      <c r="C253" s="10"/>
      <c r="D253" s="11"/>
      <c r="P253">
        <f>IFERROR(IF(AND($B253&lt;&gt;"",$B253&lt;&gt;"Exterior",COUNTIF($B$6:B253,$B253)=1,COUNTIF($R$6:$R$12,$B253)=0),$B253,""),"")</f>
      </c>
      <c r="Q253">
        <f>IFERROR(IF(AND($C253&lt;&gt;"",$C253&lt;&gt;"Exterior",COUNTIF($C$6:C253,$C253)=1,COUNTIF($R$6:$R$12,$C253)=0,COUNTIF($B$6:$B$505,$C253)=0),$C253,""),"")</f>
      </c>
      <c r="X253">
        <f>IFERROR(ROUND(MAX(0,SUMIFS($D$6:$D253,$C$6:$C253,$B253,$A$6:$A253,"&lt;="&amp;$A253)*MAX(0,IFERROR(1+VLOOKUP($B253,$F$6:$I$19,4,FALSE),IFERROR(1+INDEX($U$6:$U$505,MATCH($B253,$S$6:$S$505,0)),1)))-(SUMIFS($D$6:$D253,$B$6:$B253,$B253,$A$6:$A253,"&lt;="&amp;$A253)-$D253)),2),0)</f>
      </c>
    </row>
    <row r="254" spans="1:24" x14ac:dyDescent="0.25">
      <c r="A254" s="9">
        <v>46317</v>
      </c>
      <c r="B254" s="10"/>
      <c r="C254" s="10"/>
      <c r="D254" s="11"/>
      <c r="P254">
        <f>IFERROR(IF(AND($B254&lt;&gt;"",$B254&lt;&gt;"Exterior",COUNTIF($B$6:B254,$B254)=1,COUNTIF($R$6:$R$12,$B254)=0),$B254,""),"")</f>
      </c>
      <c r="Q254">
        <f>IFERROR(IF(AND($C254&lt;&gt;"",$C254&lt;&gt;"Exterior",COUNTIF($C$6:C254,$C254)=1,COUNTIF($R$6:$R$12,$C254)=0,COUNTIF($B$6:$B$505,$C254)=0),$C254,""),"")</f>
      </c>
      <c r="X254">
        <f>IFERROR(ROUND(MAX(0,SUMIFS($D$6:$D254,$C$6:$C254,$B254,$A$6:$A254,"&lt;="&amp;$A254)*MAX(0,IFERROR(1+VLOOKUP($B254,$F$6:$I$19,4,FALSE),IFERROR(1+INDEX($U$6:$U$505,MATCH($B254,$S$6:$S$505,0)),1)))-(SUMIFS($D$6:$D254,$B$6:$B254,$B254,$A$6:$A254,"&lt;="&amp;$A254)-$D254)),2),0)</f>
      </c>
    </row>
    <row r="255" spans="1:24" x14ac:dyDescent="0.25">
      <c r="A255" s="9">
        <v>46317</v>
      </c>
      <c r="B255" s="10"/>
      <c r="C255" s="10"/>
      <c r="D255" s="11"/>
      <c r="P255">
        <f>IFERROR(IF(AND($B255&lt;&gt;"",$B255&lt;&gt;"Exterior",COUNTIF($B$6:B255,$B255)=1,COUNTIF($R$6:$R$12,$B255)=0),$B255,""),"")</f>
      </c>
      <c r="Q255">
        <f>IFERROR(IF(AND($C255&lt;&gt;"",$C255&lt;&gt;"Exterior",COUNTIF($C$6:C255,$C255)=1,COUNTIF($R$6:$R$12,$C255)=0,COUNTIF($B$6:$B$505,$C255)=0),$C255,""),"")</f>
      </c>
      <c r="X255">
        <f>IFERROR(ROUND(MAX(0,SUMIFS($D$6:$D255,$C$6:$C255,$B255,$A$6:$A255,"&lt;="&amp;$A255)*MAX(0,IFERROR(1+VLOOKUP($B255,$F$6:$I$19,4,FALSE),IFERROR(1+INDEX($U$6:$U$505,MATCH($B255,$S$6:$S$505,0)),1)))-(SUMIFS($D$6:$D255,$B$6:$B255,$B255,$A$6:$A255,"&lt;="&amp;$A255)-$D255)),2),0)</f>
      </c>
    </row>
    <row r="256" spans="1:24" x14ac:dyDescent="0.25">
      <c r="A256" s="9">
        <v>46317</v>
      </c>
      <c r="B256" s="10"/>
      <c r="C256" s="10"/>
      <c r="D256" s="11"/>
      <c r="P256">
        <f>IFERROR(IF(AND($B256&lt;&gt;"",$B256&lt;&gt;"Exterior",COUNTIF($B$6:B256,$B256)=1,COUNTIF($R$6:$R$12,$B256)=0),$B256,""),"")</f>
      </c>
      <c r="Q256">
        <f>IFERROR(IF(AND($C256&lt;&gt;"",$C256&lt;&gt;"Exterior",COUNTIF($C$6:C256,$C256)=1,COUNTIF($R$6:$R$12,$C256)=0,COUNTIF($B$6:$B$505,$C256)=0),$C256,""),"")</f>
      </c>
      <c r="X256">
        <f>IFERROR(ROUND(MAX(0,SUMIFS($D$6:$D256,$C$6:$C256,$B256,$A$6:$A256,"&lt;="&amp;$A256)*MAX(0,IFERROR(1+VLOOKUP($B256,$F$6:$I$19,4,FALSE),IFERROR(1+INDEX($U$6:$U$505,MATCH($B256,$S$6:$S$505,0)),1)))-(SUMIFS($D$6:$D256,$B$6:$B256,$B256,$A$6:$A256,"&lt;="&amp;$A256)-$D256)),2),0)</f>
      </c>
    </row>
    <row r="257" spans="1:24" x14ac:dyDescent="0.25">
      <c r="A257" s="9">
        <v>46317</v>
      </c>
      <c r="B257" s="10"/>
      <c r="C257" s="10"/>
      <c r="D257" s="11"/>
      <c r="P257">
        <f>IFERROR(IF(AND($B257&lt;&gt;"",$B257&lt;&gt;"Exterior",COUNTIF($B$6:B257,$B257)=1,COUNTIF($R$6:$R$12,$B257)=0),$B257,""),"")</f>
      </c>
      <c r="Q257">
        <f>IFERROR(IF(AND($C257&lt;&gt;"",$C257&lt;&gt;"Exterior",COUNTIF($C$6:C257,$C257)=1,COUNTIF($R$6:$R$12,$C257)=0,COUNTIF($B$6:$B$505,$C257)=0),$C257,""),"")</f>
      </c>
      <c r="X257">
        <f>IFERROR(ROUND(MAX(0,SUMIFS($D$6:$D257,$C$6:$C257,$B257,$A$6:$A257,"&lt;="&amp;$A257)*MAX(0,IFERROR(1+VLOOKUP($B257,$F$6:$I$19,4,FALSE),IFERROR(1+INDEX($U$6:$U$505,MATCH($B257,$S$6:$S$505,0)),1)))-(SUMIFS($D$6:$D257,$B$6:$B257,$B257,$A$6:$A257,"&lt;="&amp;$A257)-$D257)),2),0)</f>
      </c>
    </row>
    <row r="258" spans="1:24" x14ac:dyDescent="0.25">
      <c r="A258" s="9">
        <v>46317</v>
      </c>
      <c r="B258" s="10"/>
      <c r="C258" s="10"/>
      <c r="D258" s="11"/>
      <c r="P258">
        <f>IFERROR(IF(AND($B258&lt;&gt;"",$B258&lt;&gt;"Exterior",COUNTIF($B$6:B258,$B258)=1,COUNTIF($R$6:$R$12,$B258)=0),$B258,""),"")</f>
      </c>
      <c r="Q258">
        <f>IFERROR(IF(AND($C258&lt;&gt;"",$C258&lt;&gt;"Exterior",COUNTIF($C$6:C258,$C258)=1,COUNTIF($R$6:$R$12,$C258)=0,COUNTIF($B$6:$B$505,$C258)=0),$C258,""),"")</f>
      </c>
      <c r="X258">
        <f>IFERROR(ROUND(MAX(0,SUMIFS($D$6:$D258,$C$6:$C258,$B258,$A$6:$A258,"&lt;="&amp;$A258)*MAX(0,IFERROR(1+VLOOKUP($B258,$F$6:$I$19,4,FALSE),IFERROR(1+INDEX($U$6:$U$505,MATCH($B258,$S$6:$S$505,0)),1)))-(SUMIFS($D$6:$D258,$B$6:$B258,$B258,$A$6:$A258,"&lt;="&amp;$A258)-$D258)),2),0)</f>
      </c>
    </row>
    <row r="259" spans="1:24" x14ac:dyDescent="0.25">
      <c r="A259" s="9">
        <v>46317</v>
      </c>
      <c r="B259" s="10"/>
      <c r="C259" s="10"/>
      <c r="D259" s="11"/>
      <c r="P259">
        <f>IFERROR(IF(AND($B259&lt;&gt;"",$B259&lt;&gt;"Exterior",COUNTIF($B$6:B259,$B259)=1,COUNTIF($R$6:$R$12,$B259)=0),$B259,""),"")</f>
      </c>
      <c r="Q259">
        <f>IFERROR(IF(AND($C259&lt;&gt;"",$C259&lt;&gt;"Exterior",COUNTIF($C$6:C259,$C259)=1,COUNTIF($R$6:$R$12,$C259)=0,COUNTIF($B$6:$B$505,$C259)=0),$C259,""),"")</f>
      </c>
      <c r="X259">
        <f>IFERROR(ROUND(MAX(0,SUMIFS($D$6:$D259,$C$6:$C259,$B259,$A$6:$A259,"&lt;="&amp;$A259)*MAX(0,IFERROR(1+VLOOKUP($B259,$F$6:$I$19,4,FALSE),IFERROR(1+INDEX($U$6:$U$505,MATCH($B259,$S$6:$S$505,0)),1)))-(SUMIFS($D$6:$D259,$B$6:$B259,$B259,$A$6:$A259,"&lt;="&amp;$A259)-$D259)),2),0)</f>
      </c>
    </row>
    <row r="260" spans="1:24" x14ac:dyDescent="0.25">
      <c r="A260" s="9">
        <v>46317</v>
      </c>
      <c r="B260" s="10"/>
      <c r="C260" s="10"/>
      <c r="D260" s="11"/>
      <c r="P260">
        <f>IFERROR(IF(AND($B260&lt;&gt;"",$B260&lt;&gt;"Exterior",COUNTIF($B$6:B260,$B260)=1,COUNTIF($R$6:$R$12,$B260)=0),$B260,""),"")</f>
      </c>
      <c r="Q260">
        <f>IFERROR(IF(AND($C260&lt;&gt;"",$C260&lt;&gt;"Exterior",COUNTIF($C$6:C260,$C260)=1,COUNTIF($R$6:$R$12,$C260)=0,COUNTIF($B$6:$B$505,$C260)=0),$C260,""),"")</f>
      </c>
      <c r="X260">
        <f>IFERROR(ROUND(MAX(0,SUMIFS($D$6:$D260,$C$6:$C260,$B260,$A$6:$A260,"&lt;="&amp;$A260)*MAX(0,IFERROR(1+VLOOKUP($B260,$F$6:$I$19,4,FALSE),IFERROR(1+INDEX($U$6:$U$505,MATCH($B260,$S$6:$S$505,0)),1)))-(SUMIFS($D$6:$D260,$B$6:$B260,$B260,$A$6:$A260,"&lt;="&amp;$A260)-$D260)),2),0)</f>
      </c>
    </row>
    <row r="261" spans="1:24" x14ac:dyDescent="0.25">
      <c r="A261" s="9">
        <v>46317</v>
      </c>
      <c r="B261" s="10"/>
      <c r="C261" s="10"/>
      <c r="D261" s="11"/>
      <c r="P261">
        <f>IFERROR(IF(AND($B261&lt;&gt;"",$B261&lt;&gt;"Exterior",COUNTIF($B$6:B261,$B261)=1,COUNTIF($R$6:$R$12,$B261)=0),$B261,""),"")</f>
      </c>
      <c r="Q261">
        <f>IFERROR(IF(AND($C261&lt;&gt;"",$C261&lt;&gt;"Exterior",COUNTIF($C$6:C261,$C261)=1,COUNTIF($R$6:$R$12,$C261)=0,COUNTIF($B$6:$B$505,$C261)=0),$C261,""),"")</f>
      </c>
      <c r="X261">
        <f>IFERROR(ROUND(MAX(0,SUMIFS($D$6:$D261,$C$6:$C261,$B261,$A$6:$A261,"&lt;="&amp;$A261)*MAX(0,IFERROR(1+VLOOKUP($B261,$F$6:$I$19,4,FALSE),IFERROR(1+INDEX($U$6:$U$505,MATCH($B261,$S$6:$S$505,0)),1)))-(SUMIFS($D$6:$D261,$B$6:$B261,$B261,$A$6:$A261,"&lt;="&amp;$A261)-$D261)),2),0)</f>
      </c>
    </row>
    <row r="262" spans="1:24" x14ac:dyDescent="0.25">
      <c r="A262" s="9">
        <v>46317</v>
      </c>
      <c r="B262" s="10"/>
      <c r="C262" s="10"/>
      <c r="D262" s="11"/>
      <c r="P262">
        <f>IFERROR(IF(AND($B262&lt;&gt;"",$B262&lt;&gt;"Exterior",COUNTIF($B$6:B262,$B262)=1,COUNTIF($R$6:$R$12,$B262)=0),$B262,""),"")</f>
      </c>
      <c r="Q262">
        <f>IFERROR(IF(AND($C262&lt;&gt;"",$C262&lt;&gt;"Exterior",COUNTIF($C$6:C262,$C262)=1,COUNTIF($R$6:$R$12,$C262)=0,COUNTIF($B$6:$B$505,$C262)=0),$C262,""),"")</f>
      </c>
      <c r="X262">
        <f>IFERROR(ROUND(MAX(0,SUMIFS($D$6:$D262,$C$6:$C262,$B262,$A$6:$A262,"&lt;="&amp;$A262)*MAX(0,IFERROR(1+VLOOKUP($B262,$F$6:$I$19,4,FALSE),IFERROR(1+INDEX($U$6:$U$505,MATCH($B262,$S$6:$S$505,0)),1)))-(SUMIFS($D$6:$D262,$B$6:$B262,$B262,$A$6:$A262,"&lt;="&amp;$A262)-$D262)),2),0)</f>
      </c>
    </row>
    <row r="263" spans="1:24" x14ac:dyDescent="0.25">
      <c r="A263" s="9">
        <v>46317</v>
      </c>
      <c r="B263" s="10"/>
      <c r="C263" s="10"/>
      <c r="D263" s="11"/>
      <c r="P263">
        <f>IFERROR(IF(AND($B263&lt;&gt;"",$B263&lt;&gt;"Exterior",COUNTIF($B$6:B263,$B263)=1,COUNTIF($R$6:$R$12,$B263)=0),$B263,""),"")</f>
      </c>
      <c r="Q263">
        <f>IFERROR(IF(AND($C263&lt;&gt;"",$C263&lt;&gt;"Exterior",COUNTIF($C$6:C263,$C263)=1,COUNTIF($R$6:$R$12,$C263)=0,COUNTIF($B$6:$B$505,$C263)=0),$C263,""),"")</f>
      </c>
      <c r="X263">
        <f>IFERROR(ROUND(MAX(0,SUMIFS($D$6:$D263,$C$6:$C263,$B263,$A$6:$A263,"&lt;="&amp;$A263)*MAX(0,IFERROR(1+VLOOKUP($B263,$F$6:$I$19,4,FALSE),IFERROR(1+INDEX($U$6:$U$505,MATCH($B263,$S$6:$S$505,0)),1)))-(SUMIFS($D$6:$D263,$B$6:$B263,$B263,$A$6:$A263,"&lt;="&amp;$A263)-$D263)),2),0)</f>
      </c>
    </row>
    <row r="264" spans="1:24" x14ac:dyDescent="0.25">
      <c r="A264" s="9">
        <v>46317</v>
      </c>
      <c r="B264" s="10"/>
      <c r="C264" s="10"/>
      <c r="D264" s="11"/>
      <c r="P264">
        <f>IFERROR(IF(AND($B264&lt;&gt;"",$B264&lt;&gt;"Exterior",COUNTIF($B$6:B264,$B264)=1,COUNTIF($R$6:$R$12,$B264)=0),$B264,""),"")</f>
      </c>
      <c r="Q264">
        <f>IFERROR(IF(AND($C264&lt;&gt;"",$C264&lt;&gt;"Exterior",COUNTIF($C$6:C264,$C264)=1,COUNTIF($R$6:$R$12,$C264)=0,COUNTIF($B$6:$B$505,$C264)=0),$C264,""),"")</f>
      </c>
      <c r="X264">
        <f>IFERROR(ROUND(MAX(0,SUMIFS($D$6:$D264,$C$6:$C264,$B264,$A$6:$A264,"&lt;="&amp;$A264)*MAX(0,IFERROR(1+VLOOKUP($B264,$F$6:$I$19,4,FALSE),IFERROR(1+INDEX($U$6:$U$505,MATCH($B264,$S$6:$S$505,0)),1)))-(SUMIFS($D$6:$D264,$B$6:$B264,$B264,$A$6:$A264,"&lt;="&amp;$A264)-$D264)),2),0)</f>
      </c>
    </row>
    <row r="265" spans="1:24" x14ac:dyDescent="0.25">
      <c r="A265" s="9">
        <v>46317</v>
      </c>
      <c r="B265" s="10"/>
      <c r="C265" s="10"/>
      <c r="D265" s="11"/>
      <c r="P265">
        <f>IFERROR(IF(AND($B265&lt;&gt;"",$B265&lt;&gt;"Exterior",COUNTIF($B$6:B265,$B265)=1,COUNTIF($R$6:$R$12,$B265)=0),$B265,""),"")</f>
      </c>
      <c r="Q265">
        <f>IFERROR(IF(AND($C265&lt;&gt;"",$C265&lt;&gt;"Exterior",COUNTIF($C$6:C265,$C265)=1,COUNTIF($R$6:$R$12,$C265)=0,COUNTIF($B$6:$B$505,$C265)=0),$C265,""),"")</f>
      </c>
      <c r="X265">
        <f>IFERROR(ROUND(MAX(0,SUMIFS($D$6:$D265,$C$6:$C265,$B265,$A$6:$A265,"&lt;="&amp;$A265)*MAX(0,IFERROR(1+VLOOKUP($B265,$F$6:$I$19,4,FALSE),IFERROR(1+INDEX($U$6:$U$505,MATCH($B265,$S$6:$S$505,0)),1)))-(SUMIFS($D$6:$D265,$B$6:$B265,$B265,$A$6:$A265,"&lt;="&amp;$A265)-$D265)),2),0)</f>
      </c>
    </row>
    <row r="266" spans="1:24" x14ac:dyDescent="0.25">
      <c r="A266" s="9">
        <v>46317</v>
      </c>
      <c r="B266" s="10"/>
      <c r="C266" s="10"/>
      <c r="D266" s="11"/>
      <c r="P266">
        <f>IFERROR(IF(AND($B266&lt;&gt;"",$B266&lt;&gt;"Exterior",COUNTIF($B$6:B266,$B266)=1,COUNTIF($R$6:$R$12,$B266)=0),$B266,""),"")</f>
      </c>
      <c r="Q266">
        <f>IFERROR(IF(AND($C266&lt;&gt;"",$C266&lt;&gt;"Exterior",COUNTIF($C$6:C266,$C266)=1,COUNTIF($R$6:$R$12,$C266)=0,COUNTIF($B$6:$B$505,$C266)=0),$C266,""),"")</f>
      </c>
      <c r="X266">
        <f>IFERROR(ROUND(MAX(0,SUMIFS($D$6:$D266,$C$6:$C266,$B266,$A$6:$A266,"&lt;="&amp;$A266)*MAX(0,IFERROR(1+VLOOKUP($B266,$F$6:$I$19,4,FALSE),IFERROR(1+INDEX($U$6:$U$505,MATCH($B266,$S$6:$S$505,0)),1)))-(SUMIFS($D$6:$D266,$B$6:$B266,$B266,$A$6:$A266,"&lt;="&amp;$A266)-$D266)),2),0)</f>
      </c>
    </row>
    <row r="267" spans="1:24" x14ac:dyDescent="0.25">
      <c r="A267" s="9">
        <v>46317</v>
      </c>
      <c r="B267" s="10"/>
      <c r="C267" s="10"/>
      <c r="D267" s="11"/>
      <c r="P267">
        <f>IFERROR(IF(AND($B267&lt;&gt;"",$B267&lt;&gt;"Exterior",COUNTIF($B$6:B267,$B267)=1,COUNTIF($R$6:$R$12,$B267)=0),$B267,""),"")</f>
      </c>
      <c r="Q267">
        <f>IFERROR(IF(AND($C267&lt;&gt;"",$C267&lt;&gt;"Exterior",COUNTIF($C$6:C267,$C267)=1,COUNTIF($R$6:$R$12,$C267)=0,COUNTIF($B$6:$B$505,$C267)=0),$C267,""),"")</f>
      </c>
      <c r="X267">
        <f>IFERROR(ROUND(MAX(0,SUMIFS($D$6:$D267,$C$6:$C267,$B267,$A$6:$A267,"&lt;="&amp;$A267)*MAX(0,IFERROR(1+VLOOKUP($B267,$F$6:$I$19,4,FALSE),IFERROR(1+INDEX($U$6:$U$505,MATCH($B267,$S$6:$S$505,0)),1)))-(SUMIFS($D$6:$D267,$B$6:$B267,$B267,$A$6:$A267,"&lt;="&amp;$A267)-$D267)),2),0)</f>
      </c>
    </row>
    <row r="268" spans="1:24" x14ac:dyDescent="0.25">
      <c r="A268" s="9">
        <v>46317</v>
      </c>
      <c r="B268" s="10"/>
      <c r="C268" s="10"/>
      <c r="D268" s="11"/>
      <c r="P268">
        <f>IFERROR(IF(AND($B268&lt;&gt;"",$B268&lt;&gt;"Exterior",COUNTIF($B$6:B268,$B268)=1,COUNTIF($R$6:$R$12,$B268)=0),$B268,""),"")</f>
      </c>
      <c r="Q268">
        <f>IFERROR(IF(AND($C268&lt;&gt;"",$C268&lt;&gt;"Exterior",COUNTIF($C$6:C268,$C268)=1,COUNTIF($R$6:$R$12,$C268)=0,COUNTIF($B$6:$B$505,$C268)=0),$C268,""),"")</f>
      </c>
      <c r="X268">
        <f>IFERROR(ROUND(MAX(0,SUMIFS($D$6:$D268,$C$6:$C268,$B268,$A$6:$A268,"&lt;="&amp;$A268)*MAX(0,IFERROR(1+VLOOKUP($B268,$F$6:$I$19,4,FALSE),IFERROR(1+INDEX($U$6:$U$505,MATCH($B268,$S$6:$S$505,0)),1)))-(SUMIFS($D$6:$D268,$B$6:$B268,$B268,$A$6:$A268,"&lt;="&amp;$A268)-$D268)),2),0)</f>
      </c>
    </row>
    <row r="269" spans="1:24" x14ac:dyDescent="0.25">
      <c r="A269" s="9">
        <v>46317</v>
      </c>
      <c r="B269" s="10"/>
      <c r="C269" s="10"/>
      <c r="D269" s="11"/>
      <c r="P269">
        <f>IFERROR(IF(AND($B269&lt;&gt;"",$B269&lt;&gt;"Exterior",COUNTIF($B$6:B269,$B269)=1,COUNTIF($R$6:$R$12,$B269)=0),$B269,""),"")</f>
      </c>
      <c r="Q269">
        <f>IFERROR(IF(AND($C269&lt;&gt;"",$C269&lt;&gt;"Exterior",COUNTIF($C$6:C269,$C269)=1,COUNTIF($R$6:$R$12,$C269)=0,COUNTIF($B$6:$B$505,$C269)=0),$C269,""),"")</f>
      </c>
      <c r="X269">
        <f>IFERROR(ROUND(MAX(0,SUMIFS($D$6:$D269,$C$6:$C269,$B269,$A$6:$A269,"&lt;="&amp;$A269)*MAX(0,IFERROR(1+VLOOKUP($B269,$F$6:$I$19,4,FALSE),IFERROR(1+INDEX($U$6:$U$505,MATCH($B269,$S$6:$S$505,0)),1)))-(SUMIFS($D$6:$D269,$B$6:$B269,$B269,$A$6:$A269,"&lt;="&amp;$A269)-$D269)),2),0)</f>
      </c>
    </row>
    <row r="270" spans="1:24" x14ac:dyDescent="0.25">
      <c r="A270" s="9">
        <v>46317</v>
      </c>
      <c r="B270" s="10"/>
      <c r="C270" s="10"/>
      <c r="D270" s="11"/>
      <c r="P270">
        <f>IFERROR(IF(AND($B270&lt;&gt;"",$B270&lt;&gt;"Exterior",COUNTIF($B$6:B270,$B270)=1,COUNTIF($R$6:$R$12,$B270)=0),$B270,""),"")</f>
      </c>
      <c r="Q270">
        <f>IFERROR(IF(AND($C270&lt;&gt;"",$C270&lt;&gt;"Exterior",COUNTIF($C$6:C270,$C270)=1,COUNTIF($R$6:$R$12,$C270)=0,COUNTIF($B$6:$B$505,$C270)=0),$C270,""),"")</f>
      </c>
      <c r="X270">
        <f>IFERROR(ROUND(MAX(0,SUMIFS($D$6:$D270,$C$6:$C270,$B270,$A$6:$A270,"&lt;="&amp;$A270)*MAX(0,IFERROR(1+VLOOKUP($B270,$F$6:$I$19,4,FALSE),IFERROR(1+INDEX($U$6:$U$505,MATCH($B270,$S$6:$S$505,0)),1)))-(SUMIFS($D$6:$D270,$B$6:$B270,$B270,$A$6:$A270,"&lt;="&amp;$A270)-$D270)),2),0)</f>
      </c>
    </row>
    <row r="271" spans="1:24" x14ac:dyDescent="0.25">
      <c r="A271" s="9">
        <v>46317</v>
      </c>
      <c r="B271" s="10"/>
      <c r="C271" s="10"/>
      <c r="D271" s="11"/>
      <c r="P271">
        <f>IFERROR(IF(AND($B271&lt;&gt;"",$B271&lt;&gt;"Exterior",COUNTIF($B$6:B271,$B271)=1,COUNTIF($R$6:$R$12,$B271)=0),$B271,""),"")</f>
      </c>
      <c r="Q271">
        <f>IFERROR(IF(AND($C271&lt;&gt;"",$C271&lt;&gt;"Exterior",COUNTIF($C$6:C271,$C271)=1,COUNTIF($R$6:$R$12,$C271)=0,COUNTIF($B$6:$B$505,$C271)=0),$C271,""),"")</f>
      </c>
      <c r="X271">
        <f>IFERROR(ROUND(MAX(0,SUMIFS($D$6:$D271,$C$6:$C271,$B271,$A$6:$A271,"&lt;="&amp;$A271)*MAX(0,IFERROR(1+VLOOKUP($B271,$F$6:$I$19,4,FALSE),IFERROR(1+INDEX($U$6:$U$505,MATCH($B271,$S$6:$S$505,0)),1)))-(SUMIFS($D$6:$D271,$B$6:$B271,$B271,$A$6:$A271,"&lt;="&amp;$A271)-$D271)),2),0)</f>
      </c>
    </row>
    <row r="272" spans="1:24" x14ac:dyDescent="0.25">
      <c r="A272" s="9">
        <v>46317</v>
      </c>
      <c r="B272" s="10"/>
      <c r="C272" s="10"/>
      <c r="D272" s="11"/>
      <c r="P272">
        <f>IFERROR(IF(AND($B272&lt;&gt;"",$B272&lt;&gt;"Exterior",COUNTIF($B$6:B272,$B272)=1,COUNTIF($R$6:$R$12,$B272)=0),$B272,""),"")</f>
      </c>
      <c r="Q272">
        <f>IFERROR(IF(AND($C272&lt;&gt;"",$C272&lt;&gt;"Exterior",COUNTIF($C$6:C272,$C272)=1,COUNTIF($R$6:$R$12,$C272)=0,COUNTIF($B$6:$B$505,$C272)=0),$C272,""),"")</f>
      </c>
      <c r="X272">
        <f>IFERROR(ROUND(MAX(0,SUMIFS($D$6:$D272,$C$6:$C272,$B272,$A$6:$A272,"&lt;="&amp;$A272)*MAX(0,IFERROR(1+VLOOKUP($B272,$F$6:$I$19,4,FALSE),IFERROR(1+INDEX($U$6:$U$505,MATCH($B272,$S$6:$S$505,0)),1)))-(SUMIFS($D$6:$D272,$B$6:$B272,$B272,$A$6:$A272,"&lt;="&amp;$A272)-$D272)),2),0)</f>
      </c>
    </row>
    <row r="273" spans="1:24" x14ac:dyDescent="0.25">
      <c r="A273" s="9">
        <v>46317</v>
      </c>
      <c r="B273" s="10"/>
      <c r="C273" s="10"/>
      <c r="D273" s="11"/>
      <c r="P273">
        <f>IFERROR(IF(AND($B273&lt;&gt;"",$B273&lt;&gt;"Exterior",COUNTIF($B$6:B273,$B273)=1,COUNTIF($R$6:$R$12,$B273)=0),$B273,""),"")</f>
      </c>
      <c r="Q273">
        <f>IFERROR(IF(AND($C273&lt;&gt;"",$C273&lt;&gt;"Exterior",COUNTIF($C$6:C273,$C273)=1,COUNTIF($R$6:$R$12,$C273)=0,COUNTIF($B$6:$B$505,$C273)=0),$C273,""),"")</f>
      </c>
      <c r="X273">
        <f>IFERROR(ROUND(MAX(0,SUMIFS($D$6:$D273,$C$6:$C273,$B273,$A$6:$A273,"&lt;="&amp;$A273)*MAX(0,IFERROR(1+VLOOKUP($B273,$F$6:$I$19,4,FALSE),IFERROR(1+INDEX($U$6:$U$505,MATCH($B273,$S$6:$S$505,0)),1)))-(SUMIFS($D$6:$D273,$B$6:$B273,$B273,$A$6:$A273,"&lt;="&amp;$A273)-$D273)),2),0)</f>
      </c>
    </row>
    <row r="274" spans="1:24" x14ac:dyDescent="0.25">
      <c r="A274" s="9">
        <v>46317</v>
      </c>
      <c r="B274" s="10"/>
      <c r="C274" s="10"/>
      <c r="D274" s="11"/>
      <c r="P274">
        <f>IFERROR(IF(AND($B274&lt;&gt;"",$B274&lt;&gt;"Exterior",COUNTIF($B$6:B274,$B274)=1,COUNTIF($R$6:$R$12,$B274)=0),$B274,""),"")</f>
      </c>
      <c r="Q274">
        <f>IFERROR(IF(AND($C274&lt;&gt;"",$C274&lt;&gt;"Exterior",COUNTIF($C$6:C274,$C274)=1,COUNTIF($R$6:$R$12,$C274)=0,COUNTIF($B$6:$B$505,$C274)=0),$C274,""),"")</f>
      </c>
      <c r="X274">
        <f>IFERROR(ROUND(MAX(0,SUMIFS($D$6:$D274,$C$6:$C274,$B274,$A$6:$A274,"&lt;="&amp;$A274)*MAX(0,IFERROR(1+VLOOKUP($B274,$F$6:$I$19,4,FALSE),IFERROR(1+INDEX($U$6:$U$505,MATCH($B274,$S$6:$S$505,0)),1)))-(SUMIFS($D$6:$D274,$B$6:$B274,$B274,$A$6:$A274,"&lt;="&amp;$A274)-$D274)),2),0)</f>
      </c>
    </row>
    <row r="275" spans="1:24" x14ac:dyDescent="0.25">
      <c r="A275" s="9">
        <v>46317</v>
      </c>
      <c r="B275" s="10"/>
      <c r="C275" s="10"/>
      <c r="D275" s="11"/>
      <c r="P275">
        <f>IFERROR(IF(AND($B275&lt;&gt;"",$B275&lt;&gt;"Exterior",COUNTIF($B$6:B275,$B275)=1,COUNTIF($R$6:$R$12,$B275)=0),$B275,""),"")</f>
      </c>
      <c r="Q275">
        <f>IFERROR(IF(AND($C275&lt;&gt;"",$C275&lt;&gt;"Exterior",COUNTIF($C$6:C275,$C275)=1,COUNTIF($R$6:$R$12,$C275)=0,COUNTIF($B$6:$B$505,$C275)=0),$C275,""),"")</f>
      </c>
      <c r="X275">
        <f>IFERROR(ROUND(MAX(0,SUMIFS($D$6:$D275,$C$6:$C275,$B275,$A$6:$A275,"&lt;="&amp;$A275)*MAX(0,IFERROR(1+VLOOKUP($B275,$F$6:$I$19,4,FALSE),IFERROR(1+INDEX($U$6:$U$505,MATCH($B275,$S$6:$S$505,0)),1)))-(SUMIFS($D$6:$D275,$B$6:$B275,$B275,$A$6:$A275,"&lt;="&amp;$A275)-$D275)),2),0)</f>
      </c>
    </row>
    <row r="276" spans="1:24" x14ac:dyDescent="0.25">
      <c r="A276" s="9">
        <v>46317</v>
      </c>
      <c r="B276" s="10"/>
      <c r="C276" s="10"/>
      <c r="D276" s="11"/>
      <c r="P276">
        <f>IFERROR(IF(AND($B276&lt;&gt;"",$B276&lt;&gt;"Exterior",COUNTIF($B$6:B276,$B276)=1,COUNTIF($R$6:$R$12,$B276)=0),$B276,""),"")</f>
      </c>
      <c r="Q276">
        <f>IFERROR(IF(AND($C276&lt;&gt;"",$C276&lt;&gt;"Exterior",COUNTIF($C$6:C276,$C276)=1,COUNTIF($R$6:$R$12,$C276)=0,COUNTIF($B$6:$B$505,$C276)=0),$C276,""),"")</f>
      </c>
      <c r="X276">
        <f>IFERROR(ROUND(MAX(0,SUMIFS($D$6:$D276,$C$6:$C276,$B276,$A$6:$A276,"&lt;="&amp;$A276)*MAX(0,IFERROR(1+VLOOKUP($B276,$F$6:$I$19,4,FALSE),IFERROR(1+INDEX($U$6:$U$505,MATCH($B276,$S$6:$S$505,0)),1)))-(SUMIFS($D$6:$D276,$B$6:$B276,$B276,$A$6:$A276,"&lt;="&amp;$A276)-$D276)),2),0)</f>
      </c>
    </row>
    <row r="277" spans="1:24" x14ac:dyDescent="0.25">
      <c r="A277" s="9">
        <v>46317</v>
      </c>
      <c r="B277" s="10"/>
      <c r="C277" s="10"/>
      <c r="D277" s="11"/>
      <c r="P277">
        <f>IFERROR(IF(AND($B277&lt;&gt;"",$B277&lt;&gt;"Exterior",COUNTIF($B$6:B277,$B277)=1,COUNTIF($R$6:$R$12,$B277)=0),$B277,""),"")</f>
      </c>
      <c r="Q277">
        <f>IFERROR(IF(AND($C277&lt;&gt;"",$C277&lt;&gt;"Exterior",COUNTIF($C$6:C277,$C277)=1,COUNTIF($R$6:$R$12,$C277)=0,COUNTIF($B$6:$B$505,$C277)=0),$C277,""),"")</f>
      </c>
      <c r="X277">
        <f>IFERROR(ROUND(MAX(0,SUMIFS($D$6:$D277,$C$6:$C277,$B277,$A$6:$A277,"&lt;="&amp;$A277)*MAX(0,IFERROR(1+VLOOKUP($B277,$F$6:$I$19,4,FALSE),IFERROR(1+INDEX($U$6:$U$505,MATCH($B277,$S$6:$S$505,0)),1)))-(SUMIFS($D$6:$D277,$B$6:$B277,$B277,$A$6:$A277,"&lt;="&amp;$A277)-$D277)),2),0)</f>
      </c>
    </row>
    <row r="278" spans="1:24" x14ac:dyDescent="0.25">
      <c r="A278" s="9">
        <v>46317</v>
      </c>
      <c r="B278" s="10"/>
      <c r="C278" s="10"/>
      <c r="D278" s="11"/>
      <c r="P278">
        <f>IFERROR(IF(AND($B278&lt;&gt;"",$B278&lt;&gt;"Exterior",COUNTIF($B$6:B278,$B278)=1,COUNTIF($R$6:$R$12,$B278)=0),$B278,""),"")</f>
      </c>
      <c r="Q278">
        <f>IFERROR(IF(AND($C278&lt;&gt;"",$C278&lt;&gt;"Exterior",COUNTIF($C$6:C278,$C278)=1,COUNTIF($R$6:$R$12,$C278)=0,COUNTIF($B$6:$B$505,$C278)=0),$C278,""),"")</f>
      </c>
      <c r="X278">
        <f>IFERROR(ROUND(MAX(0,SUMIFS($D$6:$D278,$C$6:$C278,$B278,$A$6:$A278,"&lt;="&amp;$A278)*MAX(0,IFERROR(1+VLOOKUP($B278,$F$6:$I$19,4,FALSE),IFERROR(1+INDEX($U$6:$U$505,MATCH($B278,$S$6:$S$505,0)),1)))-(SUMIFS($D$6:$D278,$B$6:$B278,$B278,$A$6:$A278,"&lt;="&amp;$A278)-$D278)),2),0)</f>
      </c>
    </row>
    <row r="279" spans="1:24" x14ac:dyDescent="0.25">
      <c r="A279" s="9">
        <v>46317</v>
      </c>
      <c r="B279" s="10"/>
      <c r="C279" s="10"/>
      <c r="D279" s="11"/>
      <c r="P279">
        <f>IFERROR(IF(AND($B279&lt;&gt;"",$B279&lt;&gt;"Exterior",COUNTIF($B$6:B279,$B279)=1,COUNTIF($R$6:$R$12,$B279)=0),$B279,""),"")</f>
      </c>
      <c r="Q279">
        <f>IFERROR(IF(AND($C279&lt;&gt;"",$C279&lt;&gt;"Exterior",COUNTIF($C$6:C279,$C279)=1,COUNTIF($R$6:$R$12,$C279)=0,COUNTIF($B$6:$B$505,$C279)=0),$C279,""),"")</f>
      </c>
      <c r="X279">
        <f>IFERROR(ROUND(MAX(0,SUMIFS($D$6:$D279,$C$6:$C279,$B279,$A$6:$A279,"&lt;="&amp;$A279)*MAX(0,IFERROR(1+VLOOKUP($B279,$F$6:$I$19,4,FALSE),IFERROR(1+INDEX($U$6:$U$505,MATCH($B279,$S$6:$S$505,0)),1)))-(SUMIFS($D$6:$D279,$B$6:$B279,$B279,$A$6:$A279,"&lt;="&amp;$A279)-$D279)),2),0)</f>
      </c>
    </row>
    <row r="280" spans="1:24" x14ac:dyDescent="0.25">
      <c r="A280" s="9">
        <v>46317</v>
      </c>
      <c r="B280" s="10"/>
      <c r="C280" s="10"/>
      <c r="D280" s="11"/>
      <c r="P280">
        <f>IFERROR(IF(AND($B280&lt;&gt;"",$B280&lt;&gt;"Exterior",COUNTIF($B$6:B280,$B280)=1,COUNTIF($R$6:$R$12,$B280)=0),$B280,""),"")</f>
      </c>
      <c r="Q280">
        <f>IFERROR(IF(AND($C280&lt;&gt;"",$C280&lt;&gt;"Exterior",COUNTIF($C$6:C280,$C280)=1,COUNTIF($R$6:$R$12,$C280)=0,COUNTIF($B$6:$B$505,$C280)=0),$C280,""),"")</f>
      </c>
      <c r="X280">
        <f>IFERROR(ROUND(MAX(0,SUMIFS($D$6:$D280,$C$6:$C280,$B280,$A$6:$A280,"&lt;="&amp;$A280)*MAX(0,IFERROR(1+VLOOKUP($B280,$F$6:$I$19,4,FALSE),IFERROR(1+INDEX($U$6:$U$505,MATCH($B280,$S$6:$S$505,0)),1)))-(SUMIFS($D$6:$D280,$B$6:$B280,$B280,$A$6:$A280,"&lt;="&amp;$A280)-$D280)),2),0)</f>
      </c>
    </row>
    <row r="281" spans="1:24" x14ac:dyDescent="0.25">
      <c r="A281" s="9">
        <v>46317</v>
      </c>
      <c r="B281" s="10"/>
      <c r="C281" s="10"/>
      <c r="D281" s="11"/>
      <c r="P281">
        <f>IFERROR(IF(AND($B281&lt;&gt;"",$B281&lt;&gt;"Exterior",COUNTIF($B$6:B281,$B281)=1,COUNTIF($R$6:$R$12,$B281)=0),$B281,""),"")</f>
      </c>
      <c r="Q281">
        <f>IFERROR(IF(AND($C281&lt;&gt;"",$C281&lt;&gt;"Exterior",COUNTIF($C$6:C281,$C281)=1,COUNTIF($R$6:$R$12,$C281)=0,COUNTIF($B$6:$B$505,$C281)=0),$C281,""),"")</f>
      </c>
      <c r="X281">
        <f>IFERROR(ROUND(MAX(0,SUMIFS($D$6:$D281,$C$6:$C281,$B281,$A$6:$A281,"&lt;="&amp;$A281)*MAX(0,IFERROR(1+VLOOKUP($B281,$F$6:$I$19,4,FALSE),IFERROR(1+INDEX($U$6:$U$505,MATCH($B281,$S$6:$S$505,0)),1)))-(SUMIFS($D$6:$D281,$B$6:$B281,$B281,$A$6:$A281,"&lt;="&amp;$A281)-$D281)),2),0)</f>
      </c>
    </row>
    <row r="282" spans="1:24" x14ac:dyDescent="0.25">
      <c r="A282" s="9">
        <v>46317</v>
      </c>
      <c r="B282" s="10"/>
      <c r="C282" s="10"/>
      <c r="D282" s="11"/>
      <c r="P282">
        <f>IFERROR(IF(AND($B282&lt;&gt;"",$B282&lt;&gt;"Exterior",COUNTIF($B$6:B282,$B282)=1,COUNTIF($R$6:$R$12,$B282)=0),$B282,""),"")</f>
      </c>
      <c r="Q282">
        <f>IFERROR(IF(AND($C282&lt;&gt;"",$C282&lt;&gt;"Exterior",COUNTIF($C$6:C282,$C282)=1,COUNTIF($R$6:$R$12,$C282)=0,COUNTIF($B$6:$B$505,$C282)=0),$C282,""),"")</f>
      </c>
      <c r="X282">
        <f>IFERROR(ROUND(MAX(0,SUMIFS($D$6:$D282,$C$6:$C282,$B282,$A$6:$A282,"&lt;="&amp;$A282)*MAX(0,IFERROR(1+VLOOKUP($B282,$F$6:$I$19,4,FALSE),IFERROR(1+INDEX($U$6:$U$505,MATCH($B282,$S$6:$S$505,0)),1)))-(SUMIFS($D$6:$D282,$B$6:$B282,$B282,$A$6:$A282,"&lt;="&amp;$A282)-$D282)),2),0)</f>
      </c>
    </row>
    <row r="283" spans="1:24" x14ac:dyDescent="0.25">
      <c r="A283" s="9">
        <v>46317</v>
      </c>
      <c r="B283" s="10"/>
      <c r="C283" s="10"/>
      <c r="D283" s="11"/>
      <c r="P283">
        <f>IFERROR(IF(AND($B283&lt;&gt;"",$B283&lt;&gt;"Exterior",COUNTIF($B$6:B283,$B283)=1,COUNTIF($R$6:$R$12,$B283)=0),$B283,""),"")</f>
      </c>
      <c r="Q283">
        <f>IFERROR(IF(AND($C283&lt;&gt;"",$C283&lt;&gt;"Exterior",COUNTIF($C$6:C283,$C283)=1,COUNTIF($R$6:$R$12,$C283)=0,COUNTIF($B$6:$B$505,$C283)=0),$C283,""),"")</f>
      </c>
      <c r="X283">
        <f>IFERROR(ROUND(MAX(0,SUMIFS($D$6:$D283,$C$6:$C283,$B283,$A$6:$A283,"&lt;="&amp;$A283)*MAX(0,IFERROR(1+VLOOKUP($B283,$F$6:$I$19,4,FALSE),IFERROR(1+INDEX($U$6:$U$505,MATCH($B283,$S$6:$S$505,0)),1)))-(SUMIFS($D$6:$D283,$B$6:$B283,$B283,$A$6:$A283,"&lt;="&amp;$A283)-$D283)),2),0)</f>
      </c>
    </row>
    <row r="284" spans="1:24" x14ac:dyDescent="0.25">
      <c r="A284" s="9">
        <v>46317</v>
      </c>
      <c r="B284" s="10"/>
      <c r="C284" s="10"/>
      <c r="D284" s="11"/>
      <c r="P284">
        <f>IFERROR(IF(AND($B284&lt;&gt;"",$B284&lt;&gt;"Exterior",COUNTIF($B$6:B284,$B284)=1,COUNTIF($R$6:$R$12,$B284)=0),$B284,""),"")</f>
      </c>
      <c r="Q284">
        <f>IFERROR(IF(AND($C284&lt;&gt;"",$C284&lt;&gt;"Exterior",COUNTIF($C$6:C284,$C284)=1,COUNTIF($R$6:$R$12,$C284)=0,COUNTIF($B$6:$B$505,$C284)=0),$C284,""),"")</f>
      </c>
      <c r="X284">
        <f>IFERROR(ROUND(MAX(0,SUMIFS($D$6:$D284,$C$6:$C284,$B284,$A$6:$A284,"&lt;="&amp;$A284)*MAX(0,IFERROR(1+VLOOKUP($B284,$F$6:$I$19,4,FALSE),IFERROR(1+INDEX($U$6:$U$505,MATCH($B284,$S$6:$S$505,0)),1)))-(SUMIFS($D$6:$D284,$B$6:$B284,$B284,$A$6:$A284,"&lt;="&amp;$A284)-$D284)),2),0)</f>
      </c>
    </row>
    <row r="285" spans="1:24" x14ac:dyDescent="0.25">
      <c r="A285" s="9">
        <v>46317</v>
      </c>
      <c r="B285" s="10"/>
      <c r="C285" s="10"/>
      <c r="D285" s="11"/>
      <c r="P285">
        <f>IFERROR(IF(AND($B285&lt;&gt;"",$B285&lt;&gt;"Exterior",COUNTIF($B$6:B285,$B285)=1,COUNTIF($R$6:$R$12,$B285)=0),$B285,""),"")</f>
      </c>
      <c r="Q285">
        <f>IFERROR(IF(AND($C285&lt;&gt;"",$C285&lt;&gt;"Exterior",COUNTIF($C$6:C285,$C285)=1,COUNTIF($R$6:$R$12,$C285)=0,COUNTIF($B$6:$B$505,$C285)=0),$C285,""),"")</f>
      </c>
      <c r="X285">
        <f>IFERROR(ROUND(MAX(0,SUMIFS($D$6:$D285,$C$6:$C285,$B285,$A$6:$A285,"&lt;="&amp;$A285)*MAX(0,IFERROR(1+VLOOKUP($B285,$F$6:$I$19,4,FALSE),IFERROR(1+INDEX($U$6:$U$505,MATCH($B285,$S$6:$S$505,0)),1)))-(SUMIFS($D$6:$D285,$B$6:$B285,$B285,$A$6:$A285,"&lt;="&amp;$A285)-$D285)),2),0)</f>
      </c>
    </row>
    <row r="286" spans="1:24" x14ac:dyDescent="0.25">
      <c r="A286" s="9">
        <v>46317</v>
      </c>
      <c r="B286" s="10"/>
      <c r="C286" s="10"/>
      <c r="D286" s="11"/>
      <c r="P286">
        <f>IFERROR(IF(AND($B286&lt;&gt;"",$B286&lt;&gt;"Exterior",COUNTIF($B$6:B286,$B286)=1,COUNTIF($R$6:$R$12,$B286)=0),$B286,""),"")</f>
      </c>
      <c r="Q286">
        <f>IFERROR(IF(AND($C286&lt;&gt;"",$C286&lt;&gt;"Exterior",COUNTIF($C$6:C286,$C286)=1,COUNTIF($R$6:$R$12,$C286)=0,COUNTIF($B$6:$B$505,$C286)=0),$C286,""),"")</f>
      </c>
      <c r="X286">
        <f>IFERROR(ROUND(MAX(0,SUMIFS($D$6:$D286,$C$6:$C286,$B286,$A$6:$A286,"&lt;="&amp;$A286)*MAX(0,IFERROR(1+VLOOKUP($B286,$F$6:$I$19,4,FALSE),IFERROR(1+INDEX($U$6:$U$505,MATCH($B286,$S$6:$S$505,0)),1)))-(SUMIFS($D$6:$D286,$B$6:$B286,$B286,$A$6:$A286,"&lt;="&amp;$A286)-$D286)),2),0)</f>
      </c>
    </row>
    <row r="287" spans="1:24" x14ac:dyDescent="0.25">
      <c r="A287" s="9">
        <v>46317</v>
      </c>
      <c r="B287" s="10"/>
      <c r="C287" s="10"/>
      <c r="D287" s="11"/>
      <c r="P287">
        <f>IFERROR(IF(AND($B287&lt;&gt;"",$B287&lt;&gt;"Exterior",COUNTIF($B$6:B287,$B287)=1,COUNTIF($R$6:$R$12,$B287)=0),$B287,""),"")</f>
      </c>
      <c r="Q287">
        <f>IFERROR(IF(AND($C287&lt;&gt;"",$C287&lt;&gt;"Exterior",COUNTIF($C$6:C287,$C287)=1,COUNTIF($R$6:$R$12,$C287)=0,COUNTIF($B$6:$B$505,$C287)=0),$C287,""),"")</f>
      </c>
      <c r="X287">
        <f>IFERROR(ROUND(MAX(0,SUMIFS($D$6:$D287,$C$6:$C287,$B287,$A$6:$A287,"&lt;="&amp;$A287)*MAX(0,IFERROR(1+VLOOKUP($B287,$F$6:$I$19,4,FALSE),IFERROR(1+INDEX($U$6:$U$505,MATCH($B287,$S$6:$S$505,0)),1)))-(SUMIFS($D$6:$D287,$B$6:$B287,$B287,$A$6:$A287,"&lt;="&amp;$A287)-$D287)),2),0)</f>
      </c>
    </row>
    <row r="288" spans="1:24" x14ac:dyDescent="0.25">
      <c r="A288" s="9">
        <v>46317</v>
      </c>
      <c r="B288" s="10"/>
      <c r="C288" s="10"/>
      <c r="D288" s="11"/>
      <c r="P288">
        <f>IFERROR(IF(AND($B288&lt;&gt;"",$B288&lt;&gt;"Exterior",COUNTIF($B$6:B288,$B288)=1,COUNTIF($R$6:$R$12,$B288)=0),$B288,""),"")</f>
      </c>
      <c r="Q288">
        <f>IFERROR(IF(AND($C288&lt;&gt;"",$C288&lt;&gt;"Exterior",COUNTIF($C$6:C288,$C288)=1,COUNTIF($R$6:$R$12,$C288)=0,COUNTIF($B$6:$B$505,$C288)=0),$C288,""),"")</f>
      </c>
      <c r="X288">
        <f>IFERROR(ROUND(MAX(0,SUMIFS($D$6:$D288,$C$6:$C288,$B288,$A$6:$A288,"&lt;="&amp;$A288)*MAX(0,IFERROR(1+VLOOKUP($B288,$F$6:$I$19,4,FALSE),IFERROR(1+INDEX($U$6:$U$505,MATCH($B288,$S$6:$S$505,0)),1)))-(SUMIFS($D$6:$D288,$B$6:$B288,$B288,$A$6:$A288,"&lt;="&amp;$A288)-$D288)),2),0)</f>
      </c>
    </row>
    <row r="289" spans="1:24" x14ac:dyDescent="0.25">
      <c r="A289" s="9">
        <v>46317</v>
      </c>
      <c r="B289" s="10"/>
      <c r="C289" s="10"/>
      <c r="D289" s="11"/>
      <c r="P289">
        <f>IFERROR(IF(AND($B289&lt;&gt;"",$B289&lt;&gt;"Exterior",COUNTIF($B$6:B289,$B289)=1,COUNTIF($R$6:$R$12,$B289)=0),$B289,""),"")</f>
      </c>
      <c r="Q289">
        <f>IFERROR(IF(AND($C289&lt;&gt;"",$C289&lt;&gt;"Exterior",COUNTIF($C$6:C289,$C289)=1,COUNTIF($R$6:$R$12,$C289)=0,COUNTIF($B$6:$B$505,$C289)=0),$C289,""),"")</f>
      </c>
      <c r="X289">
        <f>IFERROR(ROUND(MAX(0,SUMIFS($D$6:$D289,$C$6:$C289,$B289,$A$6:$A289,"&lt;="&amp;$A289)*MAX(0,IFERROR(1+VLOOKUP($B289,$F$6:$I$19,4,FALSE),IFERROR(1+INDEX($U$6:$U$505,MATCH($B289,$S$6:$S$505,0)),1)))-(SUMIFS($D$6:$D289,$B$6:$B289,$B289,$A$6:$A289,"&lt;="&amp;$A289)-$D289)),2),0)</f>
      </c>
    </row>
    <row r="290" spans="1:24" x14ac:dyDescent="0.25">
      <c r="A290" s="9">
        <v>46317</v>
      </c>
      <c r="B290" s="10"/>
      <c r="C290" s="10"/>
      <c r="D290" s="11"/>
      <c r="P290">
        <f>IFERROR(IF(AND($B290&lt;&gt;"",$B290&lt;&gt;"Exterior",COUNTIF($B$6:B290,$B290)=1,COUNTIF($R$6:$R$12,$B290)=0),$B290,""),"")</f>
      </c>
      <c r="Q290">
        <f>IFERROR(IF(AND($C290&lt;&gt;"",$C290&lt;&gt;"Exterior",COUNTIF($C$6:C290,$C290)=1,COUNTIF($R$6:$R$12,$C290)=0,COUNTIF($B$6:$B$505,$C290)=0),$C290,""),"")</f>
      </c>
      <c r="X290">
        <f>IFERROR(ROUND(MAX(0,SUMIFS($D$6:$D290,$C$6:$C290,$B290,$A$6:$A290,"&lt;="&amp;$A290)*MAX(0,IFERROR(1+VLOOKUP($B290,$F$6:$I$19,4,FALSE),IFERROR(1+INDEX($U$6:$U$505,MATCH($B290,$S$6:$S$505,0)),1)))-(SUMIFS($D$6:$D290,$B$6:$B290,$B290,$A$6:$A290,"&lt;="&amp;$A290)-$D290)),2),0)</f>
      </c>
    </row>
    <row r="291" spans="1:24" x14ac:dyDescent="0.25">
      <c r="A291" s="9">
        <v>46317</v>
      </c>
      <c r="B291" s="10"/>
      <c r="C291" s="10"/>
      <c r="D291" s="11"/>
      <c r="P291">
        <f>IFERROR(IF(AND($B291&lt;&gt;"",$B291&lt;&gt;"Exterior",COUNTIF($B$6:B291,$B291)=1,COUNTIF($R$6:$R$12,$B291)=0),$B291,""),"")</f>
      </c>
      <c r="Q291">
        <f>IFERROR(IF(AND($C291&lt;&gt;"",$C291&lt;&gt;"Exterior",COUNTIF($C$6:C291,$C291)=1,COUNTIF($R$6:$R$12,$C291)=0,COUNTIF($B$6:$B$505,$C291)=0),$C291,""),"")</f>
      </c>
      <c r="X291">
        <f>IFERROR(ROUND(MAX(0,SUMIFS($D$6:$D291,$C$6:$C291,$B291,$A$6:$A291,"&lt;="&amp;$A291)*MAX(0,IFERROR(1+VLOOKUP($B291,$F$6:$I$19,4,FALSE),IFERROR(1+INDEX($U$6:$U$505,MATCH($B291,$S$6:$S$505,0)),1)))-(SUMIFS($D$6:$D291,$B$6:$B291,$B291,$A$6:$A291,"&lt;="&amp;$A291)-$D291)),2),0)</f>
      </c>
    </row>
    <row r="292" spans="1:24" x14ac:dyDescent="0.25">
      <c r="A292" s="9">
        <v>46317</v>
      </c>
      <c r="B292" s="10"/>
      <c r="C292" s="10"/>
      <c r="D292" s="11"/>
      <c r="P292">
        <f>IFERROR(IF(AND($B292&lt;&gt;"",$B292&lt;&gt;"Exterior",COUNTIF($B$6:B292,$B292)=1,COUNTIF($R$6:$R$12,$B292)=0),$B292,""),"")</f>
      </c>
      <c r="Q292">
        <f>IFERROR(IF(AND($C292&lt;&gt;"",$C292&lt;&gt;"Exterior",COUNTIF($C$6:C292,$C292)=1,COUNTIF($R$6:$R$12,$C292)=0,COUNTIF($B$6:$B$505,$C292)=0),$C292,""),"")</f>
      </c>
      <c r="X292">
        <f>IFERROR(ROUND(MAX(0,SUMIFS($D$6:$D292,$C$6:$C292,$B292,$A$6:$A292,"&lt;="&amp;$A292)*MAX(0,IFERROR(1+VLOOKUP($B292,$F$6:$I$19,4,FALSE),IFERROR(1+INDEX($U$6:$U$505,MATCH($B292,$S$6:$S$505,0)),1)))-(SUMIFS($D$6:$D292,$B$6:$B292,$B292,$A$6:$A292,"&lt;="&amp;$A292)-$D292)),2),0)</f>
      </c>
    </row>
    <row r="293" spans="1:24" x14ac:dyDescent="0.25">
      <c r="A293" s="9">
        <v>46317</v>
      </c>
      <c r="B293" s="10"/>
      <c r="C293" s="10"/>
      <c r="D293" s="11"/>
      <c r="P293">
        <f>IFERROR(IF(AND($B293&lt;&gt;"",$B293&lt;&gt;"Exterior",COUNTIF($B$6:B293,$B293)=1,COUNTIF($R$6:$R$12,$B293)=0),$B293,""),"")</f>
      </c>
      <c r="Q293">
        <f>IFERROR(IF(AND($C293&lt;&gt;"",$C293&lt;&gt;"Exterior",COUNTIF($C$6:C293,$C293)=1,COUNTIF($R$6:$R$12,$C293)=0,COUNTIF($B$6:$B$505,$C293)=0),$C293,""),"")</f>
      </c>
      <c r="X293">
        <f>IFERROR(ROUND(MAX(0,SUMIFS($D$6:$D293,$C$6:$C293,$B293,$A$6:$A293,"&lt;="&amp;$A293)*MAX(0,IFERROR(1+VLOOKUP($B293,$F$6:$I$19,4,FALSE),IFERROR(1+INDEX($U$6:$U$505,MATCH($B293,$S$6:$S$505,0)),1)))-(SUMIFS($D$6:$D293,$B$6:$B293,$B293,$A$6:$A293,"&lt;="&amp;$A293)-$D293)),2),0)</f>
      </c>
    </row>
    <row r="294" spans="1:24" x14ac:dyDescent="0.25">
      <c r="A294" s="9">
        <v>46317</v>
      </c>
      <c r="B294" s="10"/>
      <c r="C294" s="10"/>
      <c r="D294" s="11"/>
      <c r="P294">
        <f>IFERROR(IF(AND($B294&lt;&gt;"",$B294&lt;&gt;"Exterior",COUNTIF($B$6:B294,$B294)=1,COUNTIF($R$6:$R$12,$B294)=0),$B294,""),"")</f>
      </c>
      <c r="Q294">
        <f>IFERROR(IF(AND($C294&lt;&gt;"",$C294&lt;&gt;"Exterior",COUNTIF($C$6:C294,$C294)=1,COUNTIF($R$6:$R$12,$C294)=0,COUNTIF($B$6:$B$505,$C294)=0),$C294,""),"")</f>
      </c>
      <c r="X294">
        <f>IFERROR(ROUND(MAX(0,SUMIFS($D$6:$D294,$C$6:$C294,$B294,$A$6:$A294,"&lt;="&amp;$A294)*MAX(0,IFERROR(1+VLOOKUP($B294,$F$6:$I$19,4,FALSE),IFERROR(1+INDEX($U$6:$U$505,MATCH($B294,$S$6:$S$505,0)),1)))-(SUMIFS($D$6:$D294,$B$6:$B294,$B294,$A$6:$A294,"&lt;="&amp;$A294)-$D294)),2),0)</f>
      </c>
    </row>
    <row r="295" spans="1:24" x14ac:dyDescent="0.25">
      <c r="A295" s="9">
        <v>46317</v>
      </c>
      <c r="B295" s="10"/>
      <c r="C295" s="10"/>
      <c r="D295" s="11"/>
      <c r="P295">
        <f>IFERROR(IF(AND($B295&lt;&gt;"",$B295&lt;&gt;"Exterior",COUNTIF($B$6:B295,$B295)=1,COUNTIF($R$6:$R$12,$B295)=0),$B295,""),"")</f>
      </c>
      <c r="Q295">
        <f>IFERROR(IF(AND($C295&lt;&gt;"",$C295&lt;&gt;"Exterior",COUNTIF($C$6:C295,$C295)=1,COUNTIF($R$6:$R$12,$C295)=0,COUNTIF($B$6:$B$505,$C295)=0),$C295,""),"")</f>
      </c>
      <c r="X295">
        <f>IFERROR(ROUND(MAX(0,SUMIFS($D$6:$D295,$C$6:$C295,$B295,$A$6:$A295,"&lt;="&amp;$A295)*MAX(0,IFERROR(1+VLOOKUP($B295,$F$6:$I$19,4,FALSE),IFERROR(1+INDEX($U$6:$U$505,MATCH($B295,$S$6:$S$505,0)),1)))-(SUMIFS($D$6:$D295,$B$6:$B295,$B295,$A$6:$A295,"&lt;="&amp;$A295)-$D295)),2),0)</f>
      </c>
    </row>
    <row r="296" spans="1:24" x14ac:dyDescent="0.25">
      <c r="A296" s="9">
        <v>46317</v>
      </c>
      <c r="B296" s="10"/>
      <c r="C296" s="10"/>
      <c r="D296" s="11"/>
      <c r="P296">
        <f>IFERROR(IF(AND($B296&lt;&gt;"",$B296&lt;&gt;"Exterior",COUNTIF($B$6:B296,$B296)=1,COUNTIF($R$6:$R$12,$B296)=0),$B296,""),"")</f>
      </c>
      <c r="Q296">
        <f>IFERROR(IF(AND($C296&lt;&gt;"",$C296&lt;&gt;"Exterior",COUNTIF($C$6:C296,$C296)=1,COUNTIF($R$6:$R$12,$C296)=0,COUNTIF($B$6:$B$505,$C296)=0),$C296,""),"")</f>
      </c>
      <c r="X296">
        <f>IFERROR(ROUND(MAX(0,SUMIFS($D$6:$D296,$C$6:$C296,$B296,$A$6:$A296,"&lt;="&amp;$A296)*MAX(0,IFERROR(1+VLOOKUP($B296,$F$6:$I$19,4,FALSE),IFERROR(1+INDEX($U$6:$U$505,MATCH($B296,$S$6:$S$505,0)),1)))-(SUMIFS($D$6:$D296,$B$6:$B296,$B296,$A$6:$A296,"&lt;="&amp;$A296)-$D296)),2),0)</f>
      </c>
    </row>
    <row r="297" spans="1:24" x14ac:dyDescent="0.25">
      <c r="A297" s="9">
        <v>46317</v>
      </c>
      <c r="B297" s="10"/>
      <c r="C297" s="10"/>
      <c r="D297" s="11"/>
      <c r="P297">
        <f>IFERROR(IF(AND($B297&lt;&gt;"",$B297&lt;&gt;"Exterior",COUNTIF($B$6:B297,$B297)=1,COUNTIF($R$6:$R$12,$B297)=0),$B297,""),"")</f>
      </c>
      <c r="Q297">
        <f>IFERROR(IF(AND($C297&lt;&gt;"",$C297&lt;&gt;"Exterior",COUNTIF($C$6:C297,$C297)=1,COUNTIF($R$6:$R$12,$C297)=0,COUNTIF($B$6:$B$505,$C297)=0),$C297,""),"")</f>
      </c>
      <c r="X297">
        <f>IFERROR(ROUND(MAX(0,SUMIFS($D$6:$D297,$C$6:$C297,$B297,$A$6:$A297,"&lt;="&amp;$A297)*MAX(0,IFERROR(1+VLOOKUP($B297,$F$6:$I$19,4,FALSE),IFERROR(1+INDEX($U$6:$U$505,MATCH($B297,$S$6:$S$505,0)),1)))-(SUMIFS($D$6:$D297,$B$6:$B297,$B297,$A$6:$A297,"&lt;="&amp;$A297)-$D297)),2),0)</f>
      </c>
    </row>
    <row r="298" spans="1:24" x14ac:dyDescent="0.25">
      <c r="A298" s="9">
        <v>46317</v>
      </c>
      <c r="B298" s="10"/>
      <c r="C298" s="10"/>
      <c r="D298" s="11"/>
      <c r="P298">
        <f>IFERROR(IF(AND($B298&lt;&gt;"",$B298&lt;&gt;"Exterior",COUNTIF($B$6:B298,$B298)=1,COUNTIF($R$6:$R$12,$B298)=0),$B298,""),"")</f>
      </c>
      <c r="Q298">
        <f>IFERROR(IF(AND($C298&lt;&gt;"",$C298&lt;&gt;"Exterior",COUNTIF($C$6:C298,$C298)=1,COUNTIF($R$6:$R$12,$C298)=0,COUNTIF($B$6:$B$505,$C298)=0),$C298,""),"")</f>
      </c>
      <c r="X298">
        <f>IFERROR(ROUND(MAX(0,SUMIFS($D$6:$D298,$C$6:$C298,$B298,$A$6:$A298,"&lt;="&amp;$A298)*MAX(0,IFERROR(1+VLOOKUP($B298,$F$6:$I$19,4,FALSE),IFERROR(1+INDEX($U$6:$U$505,MATCH($B298,$S$6:$S$505,0)),1)))-(SUMIFS($D$6:$D298,$B$6:$B298,$B298,$A$6:$A298,"&lt;="&amp;$A298)-$D298)),2),0)</f>
      </c>
    </row>
    <row r="299" spans="1:24" x14ac:dyDescent="0.25">
      <c r="A299" s="9">
        <v>46317</v>
      </c>
      <c r="B299" s="10"/>
      <c r="C299" s="10"/>
      <c r="D299" s="11"/>
      <c r="P299">
        <f>IFERROR(IF(AND($B299&lt;&gt;"",$B299&lt;&gt;"Exterior",COUNTIF($B$6:B299,$B299)=1,COUNTIF($R$6:$R$12,$B299)=0),$B299,""),"")</f>
      </c>
      <c r="Q299">
        <f>IFERROR(IF(AND($C299&lt;&gt;"",$C299&lt;&gt;"Exterior",COUNTIF($C$6:C299,$C299)=1,COUNTIF($R$6:$R$12,$C299)=0,COUNTIF($B$6:$B$505,$C299)=0),$C299,""),"")</f>
      </c>
      <c r="X299">
        <f>IFERROR(ROUND(MAX(0,SUMIFS($D$6:$D299,$C$6:$C299,$B299,$A$6:$A299,"&lt;="&amp;$A299)*MAX(0,IFERROR(1+VLOOKUP($B299,$F$6:$I$19,4,FALSE),IFERROR(1+INDEX($U$6:$U$505,MATCH($B299,$S$6:$S$505,0)),1)))-(SUMIFS($D$6:$D299,$B$6:$B299,$B299,$A$6:$A299,"&lt;="&amp;$A299)-$D299)),2),0)</f>
      </c>
    </row>
    <row r="300" spans="1:24" x14ac:dyDescent="0.25">
      <c r="A300" s="9">
        <v>46317</v>
      </c>
      <c r="B300" s="10"/>
      <c r="C300" s="10"/>
      <c r="D300" s="11"/>
      <c r="P300">
        <f>IFERROR(IF(AND($B300&lt;&gt;"",$B300&lt;&gt;"Exterior",COUNTIF($B$6:B300,$B300)=1,COUNTIF($R$6:$R$12,$B300)=0),$B300,""),"")</f>
      </c>
      <c r="Q300">
        <f>IFERROR(IF(AND($C300&lt;&gt;"",$C300&lt;&gt;"Exterior",COUNTIF($C$6:C300,$C300)=1,COUNTIF($R$6:$R$12,$C300)=0,COUNTIF($B$6:$B$505,$C300)=0),$C300,""),"")</f>
      </c>
      <c r="X300">
        <f>IFERROR(ROUND(MAX(0,SUMIFS($D$6:$D300,$C$6:$C300,$B300,$A$6:$A300,"&lt;="&amp;$A300)*MAX(0,IFERROR(1+VLOOKUP($B300,$F$6:$I$19,4,FALSE),IFERROR(1+INDEX($U$6:$U$505,MATCH($B300,$S$6:$S$505,0)),1)))-(SUMIFS($D$6:$D300,$B$6:$B300,$B300,$A$6:$A300,"&lt;="&amp;$A300)-$D300)),2),0)</f>
      </c>
    </row>
    <row r="301" spans="1:24" x14ac:dyDescent="0.25">
      <c r="A301" s="9">
        <v>46317</v>
      </c>
      <c r="B301" s="10"/>
      <c r="C301" s="10"/>
      <c r="D301" s="11"/>
      <c r="P301">
        <f>IFERROR(IF(AND($B301&lt;&gt;"",$B301&lt;&gt;"Exterior",COUNTIF($B$6:B301,$B301)=1,COUNTIF($R$6:$R$12,$B301)=0),$B301,""),"")</f>
      </c>
      <c r="Q301">
        <f>IFERROR(IF(AND($C301&lt;&gt;"",$C301&lt;&gt;"Exterior",COUNTIF($C$6:C301,$C301)=1,COUNTIF($R$6:$R$12,$C301)=0,COUNTIF($B$6:$B$505,$C301)=0),$C301,""),"")</f>
      </c>
      <c r="X301">
        <f>IFERROR(ROUND(MAX(0,SUMIFS($D$6:$D301,$C$6:$C301,$B301,$A$6:$A301,"&lt;="&amp;$A301)*MAX(0,IFERROR(1+VLOOKUP($B301,$F$6:$I$19,4,FALSE),IFERROR(1+INDEX($U$6:$U$505,MATCH($B301,$S$6:$S$505,0)),1)))-(SUMIFS($D$6:$D301,$B$6:$B301,$B301,$A$6:$A301,"&lt;="&amp;$A301)-$D301)),2),0)</f>
      </c>
    </row>
    <row r="302" spans="1:24" x14ac:dyDescent="0.25">
      <c r="A302" s="9">
        <v>46317</v>
      </c>
      <c r="B302" s="10"/>
      <c r="C302" s="10"/>
      <c r="D302" s="11"/>
      <c r="P302">
        <f>IFERROR(IF(AND($B302&lt;&gt;"",$B302&lt;&gt;"Exterior",COUNTIF($B$6:B302,$B302)=1,COUNTIF($R$6:$R$12,$B302)=0),$B302,""),"")</f>
      </c>
      <c r="Q302">
        <f>IFERROR(IF(AND($C302&lt;&gt;"",$C302&lt;&gt;"Exterior",COUNTIF($C$6:C302,$C302)=1,COUNTIF($R$6:$R$12,$C302)=0,COUNTIF($B$6:$B$505,$C302)=0),$C302,""),"")</f>
      </c>
      <c r="X302">
        <f>IFERROR(ROUND(MAX(0,SUMIFS($D$6:$D302,$C$6:$C302,$B302,$A$6:$A302,"&lt;="&amp;$A302)*MAX(0,IFERROR(1+VLOOKUP($B302,$F$6:$I$19,4,FALSE),IFERROR(1+INDEX($U$6:$U$505,MATCH($B302,$S$6:$S$505,0)),1)))-(SUMIFS($D$6:$D302,$B$6:$B302,$B302,$A$6:$A302,"&lt;="&amp;$A302)-$D302)),2),0)</f>
      </c>
    </row>
    <row r="303" spans="1:24" x14ac:dyDescent="0.25">
      <c r="A303" s="9">
        <v>46317</v>
      </c>
      <c r="B303" s="10"/>
      <c r="C303" s="10"/>
      <c r="D303" s="11"/>
      <c r="P303">
        <f>IFERROR(IF(AND($B303&lt;&gt;"",$B303&lt;&gt;"Exterior",COUNTIF($B$6:B303,$B303)=1,COUNTIF($R$6:$R$12,$B303)=0),$B303,""),"")</f>
      </c>
      <c r="Q303">
        <f>IFERROR(IF(AND($C303&lt;&gt;"",$C303&lt;&gt;"Exterior",COUNTIF($C$6:C303,$C303)=1,COUNTIF($R$6:$R$12,$C303)=0,COUNTIF($B$6:$B$505,$C303)=0),$C303,""),"")</f>
      </c>
      <c r="X303">
        <f>IFERROR(ROUND(MAX(0,SUMIFS($D$6:$D303,$C$6:$C303,$B303,$A$6:$A303,"&lt;="&amp;$A303)*MAX(0,IFERROR(1+VLOOKUP($B303,$F$6:$I$19,4,FALSE),IFERROR(1+INDEX($U$6:$U$505,MATCH($B303,$S$6:$S$505,0)),1)))-(SUMIFS($D$6:$D303,$B$6:$B303,$B303,$A$6:$A303,"&lt;="&amp;$A303)-$D303)),2),0)</f>
      </c>
    </row>
    <row r="304" spans="1:24" x14ac:dyDescent="0.25">
      <c r="A304" s="9">
        <v>46317</v>
      </c>
      <c r="B304" s="10"/>
      <c r="C304" s="10"/>
      <c r="D304" s="11"/>
      <c r="P304">
        <f>IFERROR(IF(AND($B304&lt;&gt;"",$B304&lt;&gt;"Exterior",COUNTIF($B$6:B304,$B304)=1,COUNTIF($R$6:$R$12,$B304)=0),$B304,""),"")</f>
      </c>
      <c r="Q304">
        <f>IFERROR(IF(AND($C304&lt;&gt;"",$C304&lt;&gt;"Exterior",COUNTIF($C$6:C304,$C304)=1,COUNTIF($R$6:$R$12,$C304)=0,COUNTIF($B$6:$B$505,$C304)=0),$C304,""),"")</f>
      </c>
      <c r="X304">
        <f>IFERROR(ROUND(MAX(0,SUMIFS($D$6:$D304,$C$6:$C304,$B304,$A$6:$A304,"&lt;="&amp;$A304)*MAX(0,IFERROR(1+VLOOKUP($B304,$F$6:$I$19,4,FALSE),IFERROR(1+INDEX($U$6:$U$505,MATCH($B304,$S$6:$S$505,0)),1)))-(SUMIFS($D$6:$D304,$B$6:$B304,$B304,$A$6:$A304,"&lt;="&amp;$A304)-$D304)),2),0)</f>
      </c>
    </row>
    <row r="305" spans="1:24" x14ac:dyDescent="0.25">
      <c r="A305" s="9">
        <v>46317</v>
      </c>
      <c r="B305" s="10"/>
      <c r="C305" s="10"/>
      <c r="D305" s="11"/>
      <c r="P305">
        <f>IFERROR(IF(AND($B305&lt;&gt;"",$B305&lt;&gt;"Exterior",COUNTIF($B$6:B305,$B305)=1,COUNTIF($R$6:$R$12,$B305)=0),$B305,""),"")</f>
      </c>
      <c r="Q305">
        <f>IFERROR(IF(AND($C305&lt;&gt;"",$C305&lt;&gt;"Exterior",COUNTIF($C$6:C305,$C305)=1,COUNTIF($R$6:$R$12,$C305)=0,COUNTIF($B$6:$B$505,$C305)=0),$C305,""),"")</f>
      </c>
      <c r="X305">
        <f>IFERROR(ROUND(MAX(0,SUMIFS($D$6:$D305,$C$6:$C305,$B305,$A$6:$A305,"&lt;="&amp;$A305)*MAX(0,IFERROR(1+VLOOKUP($B305,$F$6:$I$19,4,FALSE),IFERROR(1+INDEX($U$6:$U$505,MATCH($B305,$S$6:$S$505,0)),1)))-(SUMIFS($D$6:$D305,$B$6:$B305,$B305,$A$6:$A305,"&lt;="&amp;$A305)-$D305)),2),0)</f>
      </c>
    </row>
    <row r="306" spans="1:24" x14ac:dyDescent="0.25">
      <c r="A306" s="9">
        <v>46317</v>
      </c>
      <c r="B306" s="10"/>
      <c r="C306" s="10"/>
      <c r="D306" s="11"/>
      <c r="P306">
        <f>IFERROR(IF(AND($B306&lt;&gt;"",$B306&lt;&gt;"Exterior",COUNTIF($B$6:B306,$B306)=1,COUNTIF($R$6:$R$12,$B306)=0),$B306,""),"")</f>
      </c>
      <c r="Q306">
        <f>IFERROR(IF(AND($C306&lt;&gt;"",$C306&lt;&gt;"Exterior",COUNTIF($C$6:C306,$C306)=1,COUNTIF($R$6:$R$12,$C306)=0,COUNTIF($B$6:$B$505,$C306)=0),$C306,""),"")</f>
      </c>
      <c r="X306">
        <f>IFERROR(ROUND(MAX(0,SUMIFS($D$6:$D306,$C$6:$C306,$B306,$A$6:$A306,"&lt;="&amp;$A306)*MAX(0,IFERROR(1+VLOOKUP($B306,$F$6:$I$19,4,FALSE),IFERROR(1+INDEX($U$6:$U$505,MATCH($B306,$S$6:$S$505,0)),1)))-(SUMIFS($D$6:$D306,$B$6:$B306,$B306,$A$6:$A306,"&lt;="&amp;$A306)-$D306)),2),0)</f>
      </c>
    </row>
    <row r="307" spans="1:24" x14ac:dyDescent="0.25">
      <c r="A307" s="9">
        <v>46317</v>
      </c>
      <c r="B307" s="10"/>
      <c r="C307" s="10"/>
      <c r="D307" s="11"/>
      <c r="P307">
        <f>IFERROR(IF(AND($B307&lt;&gt;"",$B307&lt;&gt;"Exterior",COUNTIF($B$6:B307,$B307)=1,COUNTIF($R$6:$R$12,$B307)=0),$B307,""),"")</f>
      </c>
      <c r="Q307">
        <f>IFERROR(IF(AND($C307&lt;&gt;"",$C307&lt;&gt;"Exterior",COUNTIF($C$6:C307,$C307)=1,COUNTIF($R$6:$R$12,$C307)=0,COUNTIF($B$6:$B$505,$C307)=0),$C307,""),"")</f>
      </c>
      <c r="X307">
        <f>IFERROR(ROUND(MAX(0,SUMIFS($D$6:$D307,$C$6:$C307,$B307,$A$6:$A307,"&lt;="&amp;$A307)*MAX(0,IFERROR(1+VLOOKUP($B307,$F$6:$I$19,4,FALSE),IFERROR(1+INDEX($U$6:$U$505,MATCH($B307,$S$6:$S$505,0)),1)))-(SUMIFS($D$6:$D307,$B$6:$B307,$B307,$A$6:$A307,"&lt;="&amp;$A307)-$D307)),2),0)</f>
      </c>
    </row>
    <row r="308" spans="1:24" x14ac:dyDescent="0.25">
      <c r="A308" s="9">
        <v>46317</v>
      </c>
      <c r="B308" s="10"/>
      <c r="C308" s="10"/>
      <c r="D308" s="11"/>
      <c r="P308">
        <f>IFERROR(IF(AND($B308&lt;&gt;"",$B308&lt;&gt;"Exterior",COUNTIF($B$6:B308,$B308)=1,COUNTIF($R$6:$R$12,$B308)=0),$B308,""),"")</f>
      </c>
      <c r="Q308">
        <f>IFERROR(IF(AND($C308&lt;&gt;"",$C308&lt;&gt;"Exterior",COUNTIF($C$6:C308,$C308)=1,COUNTIF($R$6:$R$12,$C308)=0,COUNTIF($B$6:$B$505,$C308)=0),$C308,""),"")</f>
      </c>
      <c r="X308">
        <f>IFERROR(ROUND(MAX(0,SUMIFS($D$6:$D308,$C$6:$C308,$B308,$A$6:$A308,"&lt;="&amp;$A308)*MAX(0,IFERROR(1+VLOOKUP($B308,$F$6:$I$19,4,FALSE),IFERROR(1+INDEX($U$6:$U$505,MATCH($B308,$S$6:$S$505,0)),1)))-(SUMIFS($D$6:$D308,$B$6:$B308,$B308,$A$6:$A308,"&lt;="&amp;$A308)-$D308)),2),0)</f>
      </c>
    </row>
    <row r="309" spans="1:24" x14ac:dyDescent="0.25">
      <c r="A309" s="9">
        <v>46317</v>
      </c>
      <c r="B309" s="10"/>
      <c r="C309" s="10"/>
      <c r="D309" s="11"/>
      <c r="P309">
        <f>IFERROR(IF(AND($B309&lt;&gt;"",$B309&lt;&gt;"Exterior",COUNTIF($B$6:B309,$B309)=1,COUNTIF($R$6:$R$12,$B309)=0),$B309,""),"")</f>
      </c>
      <c r="Q309">
        <f>IFERROR(IF(AND($C309&lt;&gt;"",$C309&lt;&gt;"Exterior",COUNTIF($C$6:C309,$C309)=1,COUNTIF($R$6:$R$12,$C309)=0,COUNTIF($B$6:$B$505,$C309)=0),$C309,""),"")</f>
      </c>
      <c r="X309">
        <f>IFERROR(ROUND(MAX(0,SUMIFS($D$6:$D309,$C$6:$C309,$B309,$A$6:$A309,"&lt;="&amp;$A309)*MAX(0,IFERROR(1+VLOOKUP($B309,$F$6:$I$19,4,FALSE),IFERROR(1+INDEX($U$6:$U$505,MATCH($B309,$S$6:$S$505,0)),1)))-(SUMIFS($D$6:$D309,$B$6:$B309,$B309,$A$6:$A309,"&lt;="&amp;$A309)-$D309)),2),0)</f>
      </c>
    </row>
    <row r="310" spans="1:24" x14ac:dyDescent="0.25">
      <c r="A310" s="9">
        <v>46317</v>
      </c>
      <c r="B310" s="10"/>
      <c r="C310" s="10"/>
      <c r="D310" s="11"/>
      <c r="P310">
        <f>IFERROR(IF(AND($B310&lt;&gt;"",$B310&lt;&gt;"Exterior",COUNTIF($B$6:B310,$B310)=1,COUNTIF($R$6:$R$12,$B310)=0),$B310,""),"")</f>
      </c>
      <c r="Q310">
        <f>IFERROR(IF(AND($C310&lt;&gt;"",$C310&lt;&gt;"Exterior",COUNTIF($C$6:C310,$C310)=1,COUNTIF($R$6:$R$12,$C310)=0,COUNTIF($B$6:$B$505,$C310)=0),$C310,""),"")</f>
      </c>
      <c r="X310">
        <f>IFERROR(ROUND(MAX(0,SUMIFS($D$6:$D310,$C$6:$C310,$B310,$A$6:$A310,"&lt;="&amp;$A310)*MAX(0,IFERROR(1+VLOOKUP($B310,$F$6:$I$19,4,FALSE),IFERROR(1+INDEX($U$6:$U$505,MATCH($B310,$S$6:$S$505,0)),1)))-(SUMIFS($D$6:$D310,$B$6:$B310,$B310,$A$6:$A310,"&lt;="&amp;$A310)-$D310)),2),0)</f>
      </c>
    </row>
    <row r="311" spans="1:24" x14ac:dyDescent="0.25">
      <c r="A311" s="9">
        <v>46317</v>
      </c>
      <c r="B311" s="10"/>
      <c r="C311" s="10"/>
      <c r="D311" s="11"/>
      <c r="P311">
        <f>IFERROR(IF(AND($B311&lt;&gt;"",$B311&lt;&gt;"Exterior",COUNTIF($B$6:B311,$B311)=1,COUNTIF($R$6:$R$12,$B311)=0),$B311,""),"")</f>
      </c>
      <c r="Q311">
        <f>IFERROR(IF(AND($C311&lt;&gt;"",$C311&lt;&gt;"Exterior",COUNTIF($C$6:C311,$C311)=1,COUNTIF($R$6:$R$12,$C311)=0,COUNTIF($B$6:$B$505,$C311)=0),$C311,""),"")</f>
      </c>
      <c r="X311">
        <f>IFERROR(ROUND(MAX(0,SUMIFS($D$6:$D311,$C$6:$C311,$B311,$A$6:$A311,"&lt;="&amp;$A311)*MAX(0,IFERROR(1+VLOOKUP($B311,$F$6:$I$19,4,FALSE),IFERROR(1+INDEX($U$6:$U$505,MATCH($B311,$S$6:$S$505,0)),1)))-(SUMIFS($D$6:$D311,$B$6:$B311,$B311,$A$6:$A311,"&lt;="&amp;$A311)-$D311)),2),0)</f>
      </c>
    </row>
    <row r="312" spans="1:24" x14ac:dyDescent="0.25">
      <c r="A312" s="9">
        <v>46317</v>
      </c>
      <c r="B312" s="10"/>
      <c r="C312" s="10"/>
      <c r="D312" s="11"/>
      <c r="P312">
        <f>IFERROR(IF(AND($B312&lt;&gt;"",$B312&lt;&gt;"Exterior",COUNTIF($B$6:B312,$B312)=1,COUNTIF($R$6:$R$12,$B312)=0),$B312,""),"")</f>
      </c>
      <c r="Q312">
        <f>IFERROR(IF(AND($C312&lt;&gt;"",$C312&lt;&gt;"Exterior",COUNTIF($C$6:C312,$C312)=1,COUNTIF($R$6:$R$12,$C312)=0,COUNTIF($B$6:$B$505,$C312)=0),$C312,""),"")</f>
      </c>
      <c r="X312">
        <f>IFERROR(ROUND(MAX(0,SUMIFS($D$6:$D312,$C$6:$C312,$B312,$A$6:$A312,"&lt;="&amp;$A312)*MAX(0,IFERROR(1+VLOOKUP($B312,$F$6:$I$19,4,FALSE),IFERROR(1+INDEX($U$6:$U$505,MATCH($B312,$S$6:$S$505,0)),1)))-(SUMIFS($D$6:$D312,$B$6:$B312,$B312,$A$6:$A312,"&lt;="&amp;$A312)-$D312)),2),0)</f>
      </c>
    </row>
    <row r="313" spans="1:24" x14ac:dyDescent="0.25">
      <c r="A313" s="9">
        <v>46317</v>
      </c>
      <c r="B313" s="10"/>
      <c r="C313" s="10"/>
      <c r="D313" s="11"/>
      <c r="P313">
        <f>IFERROR(IF(AND($B313&lt;&gt;"",$B313&lt;&gt;"Exterior",COUNTIF($B$6:B313,$B313)=1,COUNTIF($R$6:$R$12,$B313)=0),$B313,""),"")</f>
      </c>
      <c r="Q313">
        <f>IFERROR(IF(AND($C313&lt;&gt;"",$C313&lt;&gt;"Exterior",COUNTIF($C$6:C313,$C313)=1,COUNTIF($R$6:$R$12,$C313)=0,COUNTIF($B$6:$B$505,$C313)=0),$C313,""),"")</f>
      </c>
      <c r="X313">
        <f>IFERROR(ROUND(MAX(0,SUMIFS($D$6:$D313,$C$6:$C313,$B313,$A$6:$A313,"&lt;="&amp;$A313)*MAX(0,IFERROR(1+VLOOKUP($B313,$F$6:$I$19,4,FALSE),IFERROR(1+INDEX($U$6:$U$505,MATCH($B313,$S$6:$S$505,0)),1)))-(SUMIFS($D$6:$D313,$B$6:$B313,$B313,$A$6:$A313,"&lt;="&amp;$A313)-$D313)),2),0)</f>
      </c>
    </row>
    <row r="314" spans="1:24" x14ac:dyDescent="0.25">
      <c r="A314" s="9">
        <v>46317</v>
      </c>
      <c r="B314" s="10"/>
      <c r="C314" s="10"/>
      <c r="D314" s="11"/>
      <c r="P314">
        <f>IFERROR(IF(AND($B314&lt;&gt;"",$B314&lt;&gt;"Exterior",COUNTIF($B$6:B314,$B314)=1,COUNTIF($R$6:$R$12,$B314)=0),$B314,""),"")</f>
      </c>
      <c r="Q314">
        <f>IFERROR(IF(AND($C314&lt;&gt;"",$C314&lt;&gt;"Exterior",COUNTIF($C$6:C314,$C314)=1,COUNTIF($R$6:$R$12,$C314)=0,COUNTIF($B$6:$B$505,$C314)=0),$C314,""),"")</f>
      </c>
      <c r="X314">
        <f>IFERROR(ROUND(MAX(0,SUMIFS($D$6:$D314,$C$6:$C314,$B314,$A$6:$A314,"&lt;="&amp;$A314)*MAX(0,IFERROR(1+VLOOKUP($B314,$F$6:$I$19,4,FALSE),IFERROR(1+INDEX($U$6:$U$505,MATCH($B314,$S$6:$S$505,0)),1)))-(SUMIFS($D$6:$D314,$B$6:$B314,$B314,$A$6:$A314,"&lt;="&amp;$A314)-$D314)),2),0)</f>
      </c>
    </row>
    <row r="315" spans="1:24" x14ac:dyDescent="0.25">
      <c r="A315" s="9">
        <v>46317</v>
      </c>
      <c r="B315" s="10"/>
      <c r="C315" s="10"/>
      <c r="D315" s="11"/>
      <c r="P315">
        <f>IFERROR(IF(AND($B315&lt;&gt;"",$B315&lt;&gt;"Exterior",COUNTIF($B$6:B315,$B315)=1,COUNTIF($R$6:$R$12,$B315)=0),$B315,""),"")</f>
      </c>
      <c r="Q315">
        <f>IFERROR(IF(AND($C315&lt;&gt;"",$C315&lt;&gt;"Exterior",COUNTIF($C$6:C315,$C315)=1,COUNTIF($R$6:$R$12,$C315)=0,COUNTIF($B$6:$B$505,$C315)=0),$C315,""),"")</f>
      </c>
      <c r="X315">
        <f>IFERROR(ROUND(MAX(0,SUMIFS($D$6:$D315,$C$6:$C315,$B315,$A$6:$A315,"&lt;="&amp;$A315)*MAX(0,IFERROR(1+VLOOKUP($B315,$F$6:$I$19,4,FALSE),IFERROR(1+INDEX($U$6:$U$505,MATCH($B315,$S$6:$S$505,0)),1)))-(SUMIFS($D$6:$D315,$B$6:$B315,$B315,$A$6:$A315,"&lt;="&amp;$A315)-$D315)),2),0)</f>
      </c>
    </row>
    <row r="316" spans="1:24" x14ac:dyDescent="0.25">
      <c r="A316" s="9">
        <v>46317</v>
      </c>
      <c r="B316" s="10"/>
      <c r="C316" s="10"/>
      <c r="D316" s="11"/>
      <c r="P316">
        <f>IFERROR(IF(AND($B316&lt;&gt;"",$B316&lt;&gt;"Exterior",COUNTIF($B$6:B316,$B316)=1,COUNTIF($R$6:$R$12,$B316)=0),$B316,""),"")</f>
      </c>
      <c r="Q316">
        <f>IFERROR(IF(AND($C316&lt;&gt;"",$C316&lt;&gt;"Exterior",COUNTIF($C$6:C316,$C316)=1,COUNTIF($R$6:$R$12,$C316)=0,COUNTIF($B$6:$B$505,$C316)=0),$C316,""),"")</f>
      </c>
      <c r="X316">
        <f>IFERROR(ROUND(MAX(0,SUMIFS($D$6:$D316,$C$6:$C316,$B316,$A$6:$A316,"&lt;="&amp;$A316)*MAX(0,IFERROR(1+VLOOKUP($B316,$F$6:$I$19,4,FALSE),IFERROR(1+INDEX($U$6:$U$505,MATCH($B316,$S$6:$S$505,0)),1)))-(SUMIFS($D$6:$D316,$B$6:$B316,$B316,$A$6:$A316,"&lt;="&amp;$A316)-$D316)),2),0)</f>
      </c>
    </row>
    <row r="317" spans="1:24" x14ac:dyDescent="0.25">
      <c r="A317" s="9">
        <v>46317</v>
      </c>
      <c r="B317" s="10"/>
      <c r="C317" s="10"/>
      <c r="D317" s="11"/>
      <c r="P317">
        <f>IFERROR(IF(AND($B317&lt;&gt;"",$B317&lt;&gt;"Exterior",COUNTIF($B$6:B317,$B317)=1,COUNTIF($R$6:$R$12,$B317)=0),$B317,""),"")</f>
      </c>
      <c r="Q317">
        <f>IFERROR(IF(AND($C317&lt;&gt;"",$C317&lt;&gt;"Exterior",COUNTIF($C$6:C317,$C317)=1,COUNTIF($R$6:$R$12,$C317)=0,COUNTIF($B$6:$B$505,$C317)=0),$C317,""),"")</f>
      </c>
      <c r="X317">
        <f>IFERROR(ROUND(MAX(0,SUMIFS($D$6:$D317,$C$6:$C317,$B317,$A$6:$A317,"&lt;="&amp;$A317)*MAX(0,IFERROR(1+VLOOKUP($B317,$F$6:$I$19,4,FALSE),IFERROR(1+INDEX($U$6:$U$505,MATCH($B317,$S$6:$S$505,0)),1)))-(SUMIFS($D$6:$D317,$B$6:$B317,$B317,$A$6:$A317,"&lt;="&amp;$A317)-$D317)),2),0)</f>
      </c>
    </row>
    <row r="318" spans="1:24" x14ac:dyDescent="0.25">
      <c r="A318" s="9">
        <v>46317</v>
      </c>
      <c r="B318" s="10"/>
      <c r="C318" s="10"/>
      <c r="D318" s="11"/>
      <c r="P318">
        <f>IFERROR(IF(AND($B318&lt;&gt;"",$B318&lt;&gt;"Exterior",COUNTIF($B$6:B318,$B318)=1,COUNTIF($R$6:$R$12,$B318)=0),$B318,""),"")</f>
      </c>
      <c r="Q318">
        <f>IFERROR(IF(AND($C318&lt;&gt;"",$C318&lt;&gt;"Exterior",COUNTIF($C$6:C318,$C318)=1,COUNTIF($R$6:$R$12,$C318)=0,COUNTIF($B$6:$B$505,$C318)=0),$C318,""),"")</f>
      </c>
      <c r="X318">
        <f>IFERROR(ROUND(MAX(0,SUMIFS($D$6:$D318,$C$6:$C318,$B318,$A$6:$A318,"&lt;="&amp;$A318)*MAX(0,IFERROR(1+VLOOKUP($B318,$F$6:$I$19,4,FALSE),IFERROR(1+INDEX($U$6:$U$505,MATCH($B318,$S$6:$S$505,0)),1)))-(SUMIFS($D$6:$D318,$B$6:$B318,$B318,$A$6:$A318,"&lt;="&amp;$A318)-$D318)),2),0)</f>
      </c>
    </row>
    <row r="319" spans="1:24" x14ac:dyDescent="0.25">
      <c r="A319" s="9">
        <v>46317</v>
      </c>
      <c r="B319" s="10"/>
      <c r="C319" s="10"/>
      <c r="D319" s="11"/>
      <c r="P319">
        <f>IFERROR(IF(AND($B319&lt;&gt;"",$B319&lt;&gt;"Exterior",COUNTIF($B$6:B319,$B319)=1,COUNTIF($R$6:$R$12,$B319)=0),$B319,""),"")</f>
      </c>
      <c r="Q319">
        <f>IFERROR(IF(AND($C319&lt;&gt;"",$C319&lt;&gt;"Exterior",COUNTIF($C$6:C319,$C319)=1,COUNTIF($R$6:$R$12,$C319)=0,COUNTIF($B$6:$B$505,$C319)=0),$C319,""),"")</f>
      </c>
      <c r="X319">
        <f>IFERROR(ROUND(MAX(0,SUMIFS($D$6:$D319,$C$6:$C319,$B319,$A$6:$A319,"&lt;="&amp;$A319)*MAX(0,IFERROR(1+VLOOKUP($B319,$F$6:$I$19,4,FALSE),IFERROR(1+INDEX($U$6:$U$505,MATCH($B319,$S$6:$S$505,0)),1)))-(SUMIFS($D$6:$D319,$B$6:$B319,$B319,$A$6:$A319,"&lt;="&amp;$A319)-$D319)),2),0)</f>
      </c>
    </row>
    <row r="320" spans="1:24" x14ac:dyDescent="0.25">
      <c r="A320" s="9">
        <v>46317</v>
      </c>
      <c r="B320" s="10"/>
      <c r="C320" s="10"/>
      <c r="D320" s="11"/>
      <c r="P320">
        <f>IFERROR(IF(AND($B320&lt;&gt;"",$B320&lt;&gt;"Exterior",COUNTIF($B$6:B320,$B320)=1,COUNTIF($R$6:$R$12,$B320)=0),$B320,""),"")</f>
      </c>
      <c r="Q320">
        <f>IFERROR(IF(AND($C320&lt;&gt;"",$C320&lt;&gt;"Exterior",COUNTIF($C$6:C320,$C320)=1,COUNTIF($R$6:$R$12,$C320)=0,COUNTIF($B$6:$B$505,$C320)=0),$C320,""),"")</f>
      </c>
      <c r="X320">
        <f>IFERROR(ROUND(MAX(0,SUMIFS($D$6:$D320,$C$6:$C320,$B320,$A$6:$A320,"&lt;="&amp;$A320)*MAX(0,IFERROR(1+VLOOKUP($B320,$F$6:$I$19,4,FALSE),IFERROR(1+INDEX($U$6:$U$505,MATCH($B320,$S$6:$S$505,0)),1)))-(SUMIFS($D$6:$D320,$B$6:$B320,$B320,$A$6:$A320,"&lt;="&amp;$A320)-$D320)),2),0)</f>
      </c>
    </row>
    <row r="321" spans="1:24" x14ac:dyDescent="0.25">
      <c r="A321" s="9">
        <v>46317</v>
      </c>
      <c r="B321" s="10"/>
      <c r="C321" s="10"/>
      <c r="D321" s="11"/>
      <c r="P321">
        <f>IFERROR(IF(AND($B321&lt;&gt;"",$B321&lt;&gt;"Exterior",COUNTIF($B$6:B321,$B321)=1,COUNTIF($R$6:$R$12,$B321)=0),$B321,""),"")</f>
      </c>
      <c r="Q321">
        <f>IFERROR(IF(AND($C321&lt;&gt;"",$C321&lt;&gt;"Exterior",COUNTIF($C$6:C321,$C321)=1,COUNTIF($R$6:$R$12,$C321)=0,COUNTIF($B$6:$B$505,$C321)=0),$C321,""),"")</f>
      </c>
      <c r="X321">
        <f>IFERROR(ROUND(MAX(0,SUMIFS($D$6:$D321,$C$6:$C321,$B321,$A$6:$A321,"&lt;="&amp;$A321)*MAX(0,IFERROR(1+VLOOKUP($B321,$F$6:$I$19,4,FALSE),IFERROR(1+INDEX($U$6:$U$505,MATCH($B321,$S$6:$S$505,0)),1)))-(SUMIFS($D$6:$D321,$B$6:$B321,$B321,$A$6:$A321,"&lt;="&amp;$A321)-$D321)),2),0)</f>
      </c>
    </row>
    <row r="322" spans="1:24" x14ac:dyDescent="0.25">
      <c r="A322" s="9">
        <v>46317</v>
      </c>
      <c r="B322" s="10"/>
      <c r="C322" s="10"/>
      <c r="D322" s="11"/>
      <c r="P322">
        <f>IFERROR(IF(AND($B322&lt;&gt;"",$B322&lt;&gt;"Exterior",COUNTIF($B$6:B322,$B322)=1,COUNTIF($R$6:$R$12,$B322)=0),$B322,""),"")</f>
      </c>
      <c r="Q322">
        <f>IFERROR(IF(AND($C322&lt;&gt;"",$C322&lt;&gt;"Exterior",COUNTIF($C$6:C322,$C322)=1,COUNTIF($R$6:$R$12,$C322)=0,COUNTIF($B$6:$B$505,$C322)=0),$C322,""),"")</f>
      </c>
      <c r="X322">
        <f>IFERROR(ROUND(MAX(0,SUMIFS($D$6:$D322,$C$6:$C322,$B322,$A$6:$A322,"&lt;="&amp;$A322)*MAX(0,IFERROR(1+VLOOKUP($B322,$F$6:$I$19,4,FALSE),IFERROR(1+INDEX($U$6:$U$505,MATCH($B322,$S$6:$S$505,0)),1)))-(SUMIFS($D$6:$D322,$B$6:$B322,$B322,$A$6:$A322,"&lt;="&amp;$A322)-$D322)),2),0)</f>
      </c>
    </row>
    <row r="323" spans="1:24" x14ac:dyDescent="0.25">
      <c r="A323" s="9">
        <v>46317</v>
      </c>
      <c r="B323" s="10"/>
      <c r="C323" s="10"/>
      <c r="D323" s="11"/>
      <c r="P323">
        <f>IFERROR(IF(AND($B323&lt;&gt;"",$B323&lt;&gt;"Exterior",COUNTIF($B$6:B323,$B323)=1,COUNTIF($R$6:$R$12,$B323)=0),$B323,""),"")</f>
      </c>
      <c r="Q323">
        <f>IFERROR(IF(AND($C323&lt;&gt;"",$C323&lt;&gt;"Exterior",COUNTIF($C$6:C323,$C323)=1,COUNTIF($R$6:$R$12,$C323)=0,COUNTIF($B$6:$B$505,$C323)=0),$C323,""),"")</f>
      </c>
      <c r="X323">
        <f>IFERROR(ROUND(MAX(0,SUMIFS($D$6:$D323,$C$6:$C323,$B323,$A$6:$A323,"&lt;="&amp;$A323)*MAX(0,IFERROR(1+VLOOKUP($B323,$F$6:$I$19,4,FALSE),IFERROR(1+INDEX($U$6:$U$505,MATCH($B323,$S$6:$S$505,0)),1)))-(SUMIFS($D$6:$D323,$B$6:$B323,$B323,$A$6:$A323,"&lt;="&amp;$A323)-$D323)),2),0)</f>
      </c>
    </row>
    <row r="324" spans="1:24" x14ac:dyDescent="0.25">
      <c r="A324" s="9">
        <v>46317</v>
      </c>
      <c r="B324" s="10"/>
      <c r="C324" s="10"/>
      <c r="D324" s="11"/>
      <c r="P324">
        <f>IFERROR(IF(AND($B324&lt;&gt;"",$B324&lt;&gt;"Exterior",COUNTIF($B$6:B324,$B324)=1,COUNTIF($R$6:$R$12,$B324)=0),$B324,""),"")</f>
      </c>
      <c r="Q324">
        <f>IFERROR(IF(AND($C324&lt;&gt;"",$C324&lt;&gt;"Exterior",COUNTIF($C$6:C324,$C324)=1,COUNTIF($R$6:$R$12,$C324)=0,COUNTIF($B$6:$B$505,$C324)=0),$C324,""),"")</f>
      </c>
      <c r="X324">
        <f>IFERROR(ROUND(MAX(0,SUMIFS($D$6:$D324,$C$6:$C324,$B324,$A$6:$A324,"&lt;="&amp;$A324)*MAX(0,IFERROR(1+VLOOKUP($B324,$F$6:$I$19,4,FALSE),IFERROR(1+INDEX($U$6:$U$505,MATCH($B324,$S$6:$S$505,0)),1)))-(SUMIFS($D$6:$D324,$B$6:$B324,$B324,$A$6:$A324,"&lt;="&amp;$A324)-$D324)),2),0)</f>
      </c>
    </row>
    <row r="325" spans="1:24" x14ac:dyDescent="0.25">
      <c r="A325" s="9">
        <v>46317</v>
      </c>
      <c r="B325" s="10"/>
      <c r="C325" s="10"/>
      <c r="D325" s="11"/>
      <c r="P325">
        <f>IFERROR(IF(AND($B325&lt;&gt;"",$B325&lt;&gt;"Exterior",COUNTIF($B$6:B325,$B325)=1,COUNTIF($R$6:$R$12,$B325)=0),$B325,""),"")</f>
      </c>
      <c r="Q325">
        <f>IFERROR(IF(AND($C325&lt;&gt;"",$C325&lt;&gt;"Exterior",COUNTIF($C$6:C325,$C325)=1,COUNTIF($R$6:$R$12,$C325)=0,COUNTIF($B$6:$B$505,$C325)=0),$C325,""),"")</f>
      </c>
      <c r="X325">
        <f>IFERROR(ROUND(MAX(0,SUMIFS($D$6:$D325,$C$6:$C325,$B325,$A$6:$A325,"&lt;="&amp;$A325)*MAX(0,IFERROR(1+VLOOKUP($B325,$F$6:$I$19,4,FALSE),IFERROR(1+INDEX($U$6:$U$505,MATCH($B325,$S$6:$S$505,0)),1)))-(SUMIFS($D$6:$D325,$B$6:$B325,$B325,$A$6:$A325,"&lt;="&amp;$A325)-$D325)),2),0)</f>
      </c>
    </row>
    <row r="326" spans="1:24" x14ac:dyDescent="0.25">
      <c r="A326" s="9">
        <v>46317</v>
      </c>
      <c r="B326" s="10"/>
      <c r="C326" s="10"/>
      <c r="D326" s="11"/>
      <c r="P326">
        <f>IFERROR(IF(AND($B326&lt;&gt;"",$B326&lt;&gt;"Exterior",COUNTIF($B$6:B326,$B326)=1,COUNTIF($R$6:$R$12,$B326)=0),$B326,""),"")</f>
      </c>
      <c r="Q326">
        <f>IFERROR(IF(AND($C326&lt;&gt;"",$C326&lt;&gt;"Exterior",COUNTIF($C$6:C326,$C326)=1,COUNTIF($R$6:$R$12,$C326)=0,COUNTIF($B$6:$B$505,$C326)=0),$C326,""),"")</f>
      </c>
      <c r="X326">
        <f>IFERROR(ROUND(MAX(0,SUMIFS($D$6:$D326,$C$6:$C326,$B326,$A$6:$A326,"&lt;="&amp;$A326)*MAX(0,IFERROR(1+VLOOKUP($B326,$F$6:$I$19,4,FALSE),IFERROR(1+INDEX($U$6:$U$505,MATCH($B326,$S$6:$S$505,0)),1)))-(SUMIFS($D$6:$D326,$B$6:$B326,$B326,$A$6:$A326,"&lt;="&amp;$A326)-$D326)),2),0)</f>
      </c>
    </row>
    <row r="327" spans="1:24" x14ac:dyDescent="0.25">
      <c r="A327" s="9">
        <v>46317</v>
      </c>
      <c r="B327" s="10"/>
      <c r="C327" s="10"/>
      <c r="D327" s="11"/>
      <c r="P327">
        <f>IFERROR(IF(AND($B327&lt;&gt;"",$B327&lt;&gt;"Exterior",COUNTIF($B$6:B327,$B327)=1,COUNTIF($R$6:$R$12,$B327)=0),$B327,""),"")</f>
      </c>
      <c r="Q327">
        <f>IFERROR(IF(AND($C327&lt;&gt;"",$C327&lt;&gt;"Exterior",COUNTIF($C$6:C327,$C327)=1,COUNTIF($R$6:$R$12,$C327)=0,COUNTIF($B$6:$B$505,$C327)=0),$C327,""),"")</f>
      </c>
      <c r="X327">
        <f>IFERROR(ROUND(MAX(0,SUMIFS($D$6:$D327,$C$6:$C327,$B327,$A$6:$A327,"&lt;="&amp;$A327)*MAX(0,IFERROR(1+VLOOKUP($B327,$F$6:$I$19,4,FALSE),IFERROR(1+INDEX($U$6:$U$505,MATCH($B327,$S$6:$S$505,0)),1)))-(SUMIFS($D$6:$D327,$B$6:$B327,$B327,$A$6:$A327,"&lt;="&amp;$A327)-$D327)),2),0)</f>
      </c>
    </row>
    <row r="328" spans="1:24" x14ac:dyDescent="0.25">
      <c r="A328" s="9">
        <v>46317</v>
      </c>
      <c r="B328" s="10"/>
      <c r="C328" s="10"/>
      <c r="D328" s="11"/>
      <c r="P328">
        <f>IFERROR(IF(AND($B328&lt;&gt;"",$B328&lt;&gt;"Exterior",COUNTIF($B$6:B328,$B328)=1,COUNTIF($R$6:$R$12,$B328)=0),$B328,""),"")</f>
      </c>
      <c r="Q328">
        <f>IFERROR(IF(AND($C328&lt;&gt;"",$C328&lt;&gt;"Exterior",COUNTIF($C$6:C328,$C328)=1,COUNTIF($R$6:$R$12,$C328)=0,COUNTIF($B$6:$B$505,$C328)=0),$C328,""),"")</f>
      </c>
      <c r="X328">
        <f>IFERROR(ROUND(MAX(0,SUMIFS($D$6:$D328,$C$6:$C328,$B328,$A$6:$A328,"&lt;="&amp;$A328)*MAX(0,IFERROR(1+VLOOKUP($B328,$F$6:$I$19,4,FALSE),IFERROR(1+INDEX($U$6:$U$505,MATCH($B328,$S$6:$S$505,0)),1)))-(SUMIFS($D$6:$D328,$B$6:$B328,$B328,$A$6:$A328,"&lt;="&amp;$A328)-$D328)),2),0)</f>
      </c>
    </row>
    <row r="329" spans="1:24" x14ac:dyDescent="0.25">
      <c r="A329" s="9">
        <v>46317</v>
      </c>
      <c r="B329" s="10"/>
      <c r="C329" s="10"/>
      <c r="D329" s="11"/>
      <c r="P329">
        <f>IFERROR(IF(AND($B329&lt;&gt;"",$B329&lt;&gt;"Exterior",COUNTIF($B$6:B329,$B329)=1,COUNTIF($R$6:$R$12,$B329)=0),$B329,""),"")</f>
      </c>
      <c r="Q329">
        <f>IFERROR(IF(AND($C329&lt;&gt;"",$C329&lt;&gt;"Exterior",COUNTIF($C$6:C329,$C329)=1,COUNTIF($R$6:$R$12,$C329)=0,COUNTIF($B$6:$B$505,$C329)=0),$C329,""),"")</f>
      </c>
      <c r="X329">
        <f>IFERROR(ROUND(MAX(0,SUMIFS($D$6:$D329,$C$6:$C329,$B329,$A$6:$A329,"&lt;="&amp;$A329)*MAX(0,IFERROR(1+VLOOKUP($B329,$F$6:$I$19,4,FALSE),IFERROR(1+INDEX($U$6:$U$505,MATCH($B329,$S$6:$S$505,0)),1)))-(SUMIFS($D$6:$D329,$B$6:$B329,$B329,$A$6:$A329,"&lt;="&amp;$A329)-$D329)),2),0)</f>
      </c>
    </row>
    <row r="330" spans="1:24" x14ac:dyDescent="0.25">
      <c r="A330" s="9">
        <v>46317</v>
      </c>
      <c r="B330" s="10"/>
      <c r="C330" s="10"/>
      <c r="D330" s="11"/>
      <c r="P330">
        <f>IFERROR(IF(AND($B330&lt;&gt;"",$B330&lt;&gt;"Exterior",COUNTIF($B$6:B330,$B330)=1,COUNTIF($R$6:$R$12,$B330)=0),$B330,""),"")</f>
      </c>
      <c r="Q330">
        <f>IFERROR(IF(AND($C330&lt;&gt;"",$C330&lt;&gt;"Exterior",COUNTIF($C$6:C330,$C330)=1,COUNTIF($R$6:$R$12,$C330)=0,COUNTIF($B$6:$B$505,$C330)=0),$C330,""),"")</f>
      </c>
      <c r="X330">
        <f>IFERROR(ROUND(MAX(0,SUMIFS($D$6:$D330,$C$6:$C330,$B330,$A$6:$A330,"&lt;="&amp;$A330)*MAX(0,IFERROR(1+VLOOKUP($B330,$F$6:$I$19,4,FALSE),IFERROR(1+INDEX($U$6:$U$505,MATCH($B330,$S$6:$S$505,0)),1)))-(SUMIFS($D$6:$D330,$B$6:$B330,$B330,$A$6:$A330,"&lt;="&amp;$A330)-$D330)),2),0)</f>
      </c>
    </row>
    <row r="331" spans="1:24" x14ac:dyDescent="0.25">
      <c r="A331" s="9">
        <v>46317</v>
      </c>
      <c r="B331" s="10"/>
      <c r="C331" s="10"/>
      <c r="D331" s="11"/>
      <c r="P331">
        <f>IFERROR(IF(AND($B331&lt;&gt;"",$B331&lt;&gt;"Exterior",COUNTIF($B$6:B331,$B331)=1,COUNTIF($R$6:$R$12,$B331)=0),$B331,""),"")</f>
      </c>
      <c r="Q331">
        <f>IFERROR(IF(AND($C331&lt;&gt;"",$C331&lt;&gt;"Exterior",COUNTIF($C$6:C331,$C331)=1,COUNTIF($R$6:$R$12,$C331)=0,COUNTIF($B$6:$B$505,$C331)=0),$C331,""),"")</f>
      </c>
      <c r="X331">
        <f>IFERROR(ROUND(MAX(0,SUMIFS($D$6:$D331,$C$6:$C331,$B331,$A$6:$A331,"&lt;="&amp;$A331)*MAX(0,IFERROR(1+VLOOKUP($B331,$F$6:$I$19,4,FALSE),IFERROR(1+INDEX($U$6:$U$505,MATCH($B331,$S$6:$S$505,0)),1)))-(SUMIFS($D$6:$D331,$B$6:$B331,$B331,$A$6:$A331,"&lt;="&amp;$A331)-$D331)),2),0)</f>
      </c>
    </row>
    <row r="332" spans="1:24" x14ac:dyDescent="0.25">
      <c r="A332" s="9">
        <v>46317</v>
      </c>
      <c r="B332" s="10"/>
      <c r="C332" s="10"/>
      <c r="D332" s="11"/>
      <c r="P332">
        <f>IFERROR(IF(AND($B332&lt;&gt;"",$B332&lt;&gt;"Exterior",COUNTIF($B$6:B332,$B332)=1,COUNTIF($R$6:$R$12,$B332)=0),$B332,""),"")</f>
      </c>
      <c r="Q332">
        <f>IFERROR(IF(AND($C332&lt;&gt;"",$C332&lt;&gt;"Exterior",COUNTIF($C$6:C332,$C332)=1,COUNTIF($R$6:$R$12,$C332)=0,COUNTIF($B$6:$B$505,$C332)=0),$C332,""),"")</f>
      </c>
      <c r="X332">
        <f>IFERROR(ROUND(MAX(0,SUMIFS($D$6:$D332,$C$6:$C332,$B332,$A$6:$A332,"&lt;="&amp;$A332)*MAX(0,IFERROR(1+VLOOKUP($B332,$F$6:$I$19,4,FALSE),IFERROR(1+INDEX($U$6:$U$505,MATCH($B332,$S$6:$S$505,0)),1)))-(SUMIFS($D$6:$D332,$B$6:$B332,$B332,$A$6:$A332,"&lt;="&amp;$A332)-$D332)),2),0)</f>
      </c>
    </row>
    <row r="333" spans="1:24" x14ac:dyDescent="0.25">
      <c r="A333" s="9">
        <v>46317</v>
      </c>
      <c r="B333" s="10"/>
      <c r="C333" s="10"/>
      <c r="D333" s="11"/>
      <c r="P333">
        <f>IFERROR(IF(AND($B333&lt;&gt;"",$B333&lt;&gt;"Exterior",COUNTIF($B$6:B333,$B333)=1,COUNTIF($R$6:$R$12,$B333)=0),$B333,""),"")</f>
      </c>
      <c r="Q333">
        <f>IFERROR(IF(AND($C333&lt;&gt;"",$C333&lt;&gt;"Exterior",COUNTIF($C$6:C333,$C333)=1,COUNTIF($R$6:$R$12,$C333)=0,COUNTIF($B$6:$B$505,$C333)=0),$C333,""),"")</f>
      </c>
      <c r="X333">
        <f>IFERROR(ROUND(MAX(0,SUMIFS($D$6:$D333,$C$6:$C333,$B333,$A$6:$A333,"&lt;="&amp;$A333)*MAX(0,IFERROR(1+VLOOKUP($B333,$F$6:$I$19,4,FALSE),IFERROR(1+INDEX($U$6:$U$505,MATCH($B333,$S$6:$S$505,0)),1)))-(SUMIFS($D$6:$D333,$B$6:$B333,$B333,$A$6:$A333,"&lt;="&amp;$A333)-$D333)),2),0)</f>
      </c>
    </row>
    <row r="334" spans="1:24" x14ac:dyDescent="0.25">
      <c r="A334" s="9">
        <v>46317</v>
      </c>
      <c r="B334" s="10"/>
      <c r="C334" s="10"/>
      <c r="D334" s="11"/>
      <c r="P334">
        <f>IFERROR(IF(AND($B334&lt;&gt;"",$B334&lt;&gt;"Exterior",COUNTIF($B$6:B334,$B334)=1,COUNTIF($R$6:$R$12,$B334)=0),$B334,""),"")</f>
      </c>
      <c r="Q334">
        <f>IFERROR(IF(AND($C334&lt;&gt;"",$C334&lt;&gt;"Exterior",COUNTIF($C$6:C334,$C334)=1,COUNTIF($R$6:$R$12,$C334)=0,COUNTIF($B$6:$B$505,$C334)=0),$C334,""),"")</f>
      </c>
      <c r="X334">
        <f>IFERROR(ROUND(MAX(0,SUMIFS($D$6:$D334,$C$6:$C334,$B334,$A$6:$A334,"&lt;="&amp;$A334)*MAX(0,IFERROR(1+VLOOKUP($B334,$F$6:$I$19,4,FALSE),IFERROR(1+INDEX($U$6:$U$505,MATCH($B334,$S$6:$S$505,0)),1)))-(SUMIFS($D$6:$D334,$B$6:$B334,$B334,$A$6:$A334,"&lt;="&amp;$A334)-$D334)),2),0)</f>
      </c>
    </row>
    <row r="335" spans="1:24" x14ac:dyDescent="0.25">
      <c r="A335" s="9">
        <v>46317</v>
      </c>
      <c r="B335" s="10"/>
      <c r="C335" s="10"/>
      <c r="D335" s="11"/>
      <c r="P335">
        <f>IFERROR(IF(AND($B335&lt;&gt;"",$B335&lt;&gt;"Exterior",COUNTIF($B$6:B335,$B335)=1,COUNTIF($R$6:$R$12,$B335)=0),$B335,""),"")</f>
      </c>
      <c r="Q335">
        <f>IFERROR(IF(AND($C335&lt;&gt;"",$C335&lt;&gt;"Exterior",COUNTIF($C$6:C335,$C335)=1,COUNTIF($R$6:$R$12,$C335)=0,COUNTIF($B$6:$B$505,$C335)=0),$C335,""),"")</f>
      </c>
      <c r="X335">
        <f>IFERROR(ROUND(MAX(0,SUMIFS($D$6:$D335,$C$6:$C335,$B335,$A$6:$A335,"&lt;="&amp;$A335)*MAX(0,IFERROR(1+VLOOKUP($B335,$F$6:$I$19,4,FALSE),IFERROR(1+INDEX($U$6:$U$505,MATCH($B335,$S$6:$S$505,0)),1)))-(SUMIFS($D$6:$D335,$B$6:$B335,$B335,$A$6:$A335,"&lt;="&amp;$A335)-$D335)),2),0)</f>
      </c>
    </row>
    <row r="336" spans="1:24" x14ac:dyDescent="0.25">
      <c r="A336" s="9">
        <v>46317</v>
      </c>
      <c r="B336" s="10"/>
      <c r="C336" s="10"/>
      <c r="D336" s="11"/>
      <c r="P336">
        <f>IFERROR(IF(AND($B336&lt;&gt;"",$B336&lt;&gt;"Exterior",COUNTIF($B$6:B336,$B336)=1,COUNTIF($R$6:$R$12,$B336)=0),$B336,""),"")</f>
      </c>
      <c r="Q336">
        <f>IFERROR(IF(AND($C336&lt;&gt;"",$C336&lt;&gt;"Exterior",COUNTIF($C$6:C336,$C336)=1,COUNTIF($R$6:$R$12,$C336)=0,COUNTIF($B$6:$B$505,$C336)=0),$C336,""),"")</f>
      </c>
      <c r="X336">
        <f>IFERROR(ROUND(MAX(0,SUMIFS($D$6:$D336,$C$6:$C336,$B336,$A$6:$A336,"&lt;="&amp;$A336)*MAX(0,IFERROR(1+VLOOKUP($B336,$F$6:$I$19,4,FALSE),IFERROR(1+INDEX($U$6:$U$505,MATCH($B336,$S$6:$S$505,0)),1)))-(SUMIFS($D$6:$D336,$B$6:$B336,$B336,$A$6:$A336,"&lt;="&amp;$A336)-$D336)),2),0)</f>
      </c>
    </row>
    <row r="337" spans="1:24" x14ac:dyDescent="0.25">
      <c r="A337" s="9">
        <v>46317</v>
      </c>
      <c r="B337" s="10"/>
      <c r="C337" s="10"/>
      <c r="D337" s="11"/>
      <c r="P337">
        <f>IFERROR(IF(AND($B337&lt;&gt;"",$B337&lt;&gt;"Exterior",COUNTIF($B$6:B337,$B337)=1,COUNTIF($R$6:$R$12,$B337)=0),$B337,""),"")</f>
      </c>
      <c r="Q337">
        <f>IFERROR(IF(AND($C337&lt;&gt;"",$C337&lt;&gt;"Exterior",COUNTIF($C$6:C337,$C337)=1,COUNTIF($R$6:$R$12,$C337)=0,COUNTIF($B$6:$B$505,$C337)=0),$C337,""),"")</f>
      </c>
      <c r="X337">
        <f>IFERROR(ROUND(MAX(0,SUMIFS($D$6:$D337,$C$6:$C337,$B337,$A$6:$A337,"&lt;="&amp;$A337)*MAX(0,IFERROR(1+VLOOKUP($B337,$F$6:$I$19,4,FALSE),IFERROR(1+INDEX($U$6:$U$505,MATCH($B337,$S$6:$S$505,0)),1)))-(SUMIFS($D$6:$D337,$B$6:$B337,$B337,$A$6:$A337,"&lt;="&amp;$A337)-$D337)),2),0)</f>
      </c>
    </row>
    <row r="338" spans="1:24" x14ac:dyDescent="0.25">
      <c r="A338" s="9">
        <v>46317</v>
      </c>
      <c r="B338" s="10"/>
      <c r="C338" s="10"/>
      <c r="D338" s="11"/>
      <c r="P338">
        <f>IFERROR(IF(AND($B338&lt;&gt;"",$B338&lt;&gt;"Exterior",COUNTIF($B$6:B338,$B338)=1,COUNTIF($R$6:$R$12,$B338)=0),$B338,""),"")</f>
      </c>
      <c r="Q338">
        <f>IFERROR(IF(AND($C338&lt;&gt;"",$C338&lt;&gt;"Exterior",COUNTIF($C$6:C338,$C338)=1,COUNTIF($R$6:$R$12,$C338)=0,COUNTIF($B$6:$B$505,$C338)=0),$C338,""),"")</f>
      </c>
      <c r="X338">
        <f>IFERROR(ROUND(MAX(0,SUMIFS($D$6:$D338,$C$6:$C338,$B338,$A$6:$A338,"&lt;="&amp;$A338)*MAX(0,IFERROR(1+VLOOKUP($B338,$F$6:$I$19,4,FALSE),IFERROR(1+INDEX($U$6:$U$505,MATCH($B338,$S$6:$S$505,0)),1)))-(SUMIFS($D$6:$D338,$B$6:$B338,$B338,$A$6:$A338,"&lt;="&amp;$A338)-$D338)),2),0)</f>
      </c>
    </row>
    <row r="339" spans="1:24" x14ac:dyDescent="0.25">
      <c r="A339" s="9">
        <v>46317</v>
      </c>
      <c r="B339" s="10"/>
      <c r="C339" s="10"/>
      <c r="D339" s="11"/>
      <c r="P339">
        <f>IFERROR(IF(AND($B339&lt;&gt;"",$B339&lt;&gt;"Exterior",COUNTIF($B$6:B339,$B339)=1,COUNTIF($R$6:$R$12,$B339)=0),$B339,""),"")</f>
      </c>
      <c r="Q339">
        <f>IFERROR(IF(AND($C339&lt;&gt;"",$C339&lt;&gt;"Exterior",COUNTIF($C$6:C339,$C339)=1,COUNTIF($R$6:$R$12,$C339)=0,COUNTIF($B$6:$B$505,$C339)=0),$C339,""),"")</f>
      </c>
      <c r="X339">
        <f>IFERROR(ROUND(MAX(0,SUMIFS($D$6:$D339,$C$6:$C339,$B339,$A$6:$A339,"&lt;="&amp;$A339)*MAX(0,IFERROR(1+VLOOKUP($B339,$F$6:$I$19,4,FALSE),IFERROR(1+INDEX($U$6:$U$505,MATCH($B339,$S$6:$S$505,0)),1)))-(SUMIFS($D$6:$D339,$B$6:$B339,$B339,$A$6:$A339,"&lt;="&amp;$A339)-$D339)),2),0)</f>
      </c>
    </row>
    <row r="340" spans="1:24" x14ac:dyDescent="0.25">
      <c r="A340" s="9">
        <v>46317</v>
      </c>
      <c r="B340" s="10"/>
      <c r="C340" s="10"/>
      <c r="D340" s="11"/>
      <c r="P340">
        <f>IFERROR(IF(AND($B340&lt;&gt;"",$B340&lt;&gt;"Exterior",COUNTIF($B$6:B340,$B340)=1,COUNTIF($R$6:$R$12,$B340)=0),$B340,""),"")</f>
      </c>
      <c r="Q340">
        <f>IFERROR(IF(AND($C340&lt;&gt;"",$C340&lt;&gt;"Exterior",COUNTIF($C$6:C340,$C340)=1,COUNTIF($R$6:$R$12,$C340)=0,COUNTIF($B$6:$B$505,$C340)=0),$C340,""),"")</f>
      </c>
      <c r="X340">
        <f>IFERROR(ROUND(MAX(0,SUMIFS($D$6:$D340,$C$6:$C340,$B340,$A$6:$A340,"&lt;="&amp;$A340)*MAX(0,IFERROR(1+VLOOKUP($B340,$F$6:$I$19,4,FALSE),IFERROR(1+INDEX($U$6:$U$505,MATCH($B340,$S$6:$S$505,0)),1)))-(SUMIFS($D$6:$D340,$B$6:$B340,$B340,$A$6:$A340,"&lt;="&amp;$A340)-$D340)),2),0)</f>
      </c>
    </row>
    <row r="341" spans="1:24" x14ac:dyDescent="0.25">
      <c r="A341" s="9">
        <v>46317</v>
      </c>
      <c r="B341" s="10"/>
      <c r="C341" s="10"/>
      <c r="D341" s="11"/>
      <c r="P341">
        <f>IFERROR(IF(AND($B341&lt;&gt;"",$B341&lt;&gt;"Exterior",COUNTIF($B$6:B341,$B341)=1,COUNTIF($R$6:$R$12,$B341)=0),$B341,""),"")</f>
      </c>
      <c r="Q341">
        <f>IFERROR(IF(AND($C341&lt;&gt;"",$C341&lt;&gt;"Exterior",COUNTIF($C$6:C341,$C341)=1,COUNTIF($R$6:$R$12,$C341)=0,COUNTIF($B$6:$B$505,$C341)=0),$C341,""),"")</f>
      </c>
      <c r="X341">
        <f>IFERROR(ROUND(MAX(0,SUMIFS($D$6:$D341,$C$6:$C341,$B341,$A$6:$A341,"&lt;="&amp;$A341)*MAX(0,IFERROR(1+VLOOKUP($B341,$F$6:$I$19,4,FALSE),IFERROR(1+INDEX($U$6:$U$505,MATCH($B341,$S$6:$S$505,0)),1)))-(SUMIFS($D$6:$D341,$B$6:$B341,$B341,$A$6:$A341,"&lt;="&amp;$A341)-$D341)),2),0)</f>
      </c>
    </row>
    <row r="342" spans="1:24" x14ac:dyDescent="0.25">
      <c r="A342" s="9">
        <v>46317</v>
      </c>
      <c r="B342" s="10"/>
      <c r="C342" s="10"/>
      <c r="D342" s="11"/>
      <c r="P342">
        <f>IFERROR(IF(AND($B342&lt;&gt;"",$B342&lt;&gt;"Exterior",COUNTIF($B$6:B342,$B342)=1,COUNTIF($R$6:$R$12,$B342)=0),$B342,""),"")</f>
      </c>
      <c r="Q342">
        <f>IFERROR(IF(AND($C342&lt;&gt;"",$C342&lt;&gt;"Exterior",COUNTIF($C$6:C342,$C342)=1,COUNTIF($R$6:$R$12,$C342)=0,COUNTIF($B$6:$B$505,$C342)=0),$C342,""),"")</f>
      </c>
      <c r="X342">
        <f>IFERROR(ROUND(MAX(0,SUMIFS($D$6:$D342,$C$6:$C342,$B342,$A$6:$A342,"&lt;="&amp;$A342)*MAX(0,IFERROR(1+VLOOKUP($B342,$F$6:$I$19,4,FALSE),IFERROR(1+INDEX($U$6:$U$505,MATCH($B342,$S$6:$S$505,0)),1)))-(SUMIFS($D$6:$D342,$B$6:$B342,$B342,$A$6:$A342,"&lt;="&amp;$A342)-$D342)),2),0)</f>
      </c>
    </row>
    <row r="343" spans="1:24" x14ac:dyDescent="0.25">
      <c r="A343" s="9">
        <v>46317</v>
      </c>
      <c r="B343" s="10"/>
      <c r="C343" s="10"/>
      <c r="D343" s="11"/>
      <c r="P343">
        <f>IFERROR(IF(AND($B343&lt;&gt;"",$B343&lt;&gt;"Exterior",COUNTIF($B$6:B343,$B343)=1,COUNTIF($R$6:$R$12,$B343)=0),$B343,""),"")</f>
      </c>
      <c r="Q343">
        <f>IFERROR(IF(AND($C343&lt;&gt;"",$C343&lt;&gt;"Exterior",COUNTIF($C$6:C343,$C343)=1,COUNTIF($R$6:$R$12,$C343)=0,COUNTIF($B$6:$B$505,$C343)=0),$C343,""),"")</f>
      </c>
      <c r="X343">
        <f>IFERROR(ROUND(MAX(0,SUMIFS($D$6:$D343,$C$6:$C343,$B343,$A$6:$A343,"&lt;="&amp;$A343)*MAX(0,IFERROR(1+VLOOKUP($B343,$F$6:$I$19,4,FALSE),IFERROR(1+INDEX($U$6:$U$505,MATCH($B343,$S$6:$S$505,0)),1)))-(SUMIFS($D$6:$D343,$B$6:$B343,$B343,$A$6:$A343,"&lt;="&amp;$A343)-$D343)),2),0)</f>
      </c>
    </row>
    <row r="344" spans="1:24" x14ac:dyDescent="0.25">
      <c r="A344" s="9">
        <v>46317</v>
      </c>
      <c r="B344" s="10"/>
      <c r="C344" s="10"/>
      <c r="D344" s="11"/>
      <c r="P344">
        <f>IFERROR(IF(AND($B344&lt;&gt;"",$B344&lt;&gt;"Exterior",COUNTIF($B$6:B344,$B344)=1,COUNTIF($R$6:$R$12,$B344)=0),$B344,""),"")</f>
      </c>
      <c r="Q344">
        <f>IFERROR(IF(AND($C344&lt;&gt;"",$C344&lt;&gt;"Exterior",COUNTIF($C$6:C344,$C344)=1,COUNTIF($R$6:$R$12,$C344)=0,COUNTIF($B$6:$B$505,$C344)=0),$C344,""),"")</f>
      </c>
      <c r="X344">
        <f>IFERROR(ROUND(MAX(0,SUMIFS($D$6:$D344,$C$6:$C344,$B344,$A$6:$A344,"&lt;="&amp;$A344)*MAX(0,IFERROR(1+VLOOKUP($B344,$F$6:$I$19,4,FALSE),IFERROR(1+INDEX($U$6:$U$505,MATCH($B344,$S$6:$S$505,0)),1)))-(SUMIFS($D$6:$D344,$B$6:$B344,$B344,$A$6:$A344,"&lt;="&amp;$A344)-$D344)),2),0)</f>
      </c>
    </row>
    <row r="345" spans="1:24" x14ac:dyDescent="0.25">
      <c r="A345" s="9">
        <v>46317</v>
      </c>
      <c r="B345" s="10"/>
      <c r="C345" s="10"/>
      <c r="D345" s="11"/>
      <c r="P345">
        <f>IFERROR(IF(AND($B345&lt;&gt;"",$B345&lt;&gt;"Exterior",COUNTIF($B$6:B345,$B345)=1,COUNTIF($R$6:$R$12,$B345)=0),$B345,""),"")</f>
      </c>
      <c r="Q345">
        <f>IFERROR(IF(AND($C345&lt;&gt;"",$C345&lt;&gt;"Exterior",COUNTIF($C$6:C345,$C345)=1,COUNTIF($R$6:$R$12,$C345)=0,COUNTIF($B$6:$B$505,$C345)=0),$C345,""),"")</f>
      </c>
      <c r="X345">
        <f>IFERROR(ROUND(MAX(0,SUMIFS($D$6:$D345,$C$6:$C345,$B345,$A$6:$A345,"&lt;="&amp;$A345)*MAX(0,IFERROR(1+VLOOKUP($B345,$F$6:$I$19,4,FALSE),IFERROR(1+INDEX($U$6:$U$505,MATCH($B345,$S$6:$S$505,0)),1)))-(SUMIFS($D$6:$D345,$B$6:$B345,$B345,$A$6:$A345,"&lt;="&amp;$A345)-$D345)),2),0)</f>
      </c>
    </row>
    <row r="346" spans="1:24" x14ac:dyDescent="0.25">
      <c r="A346" s="9">
        <v>46317</v>
      </c>
      <c r="B346" s="10"/>
      <c r="C346" s="10"/>
      <c r="D346" s="11"/>
      <c r="P346">
        <f>IFERROR(IF(AND($B346&lt;&gt;"",$B346&lt;&gt;"Exterior",COUNTIF($B$6:B346,$B346)=1,COUNTIF($R$6:$R$12,$B346)=0),$B346,""),"")</f>
      </c>
      <c r="Q346">
        <f>IFERROR(IF(AND($C346&lt;&gt;"",$C346&lt;&gt;"Exterior",COUNTIF($C$6:C346,$C346)=1,COUNTIF($R$6:$R$12,$C346)=0,COUNTIF($B$6:$B$505,$C346)=0),$C346,""),"")</f>
      </c>
      <c r="X346">
        <f>IFERROR(ROUND(MAX(0,SUMIFS($D$6:$D346,$C$6:$C346,$B346,$A$6:$A346,"&lt;="&amp;$A346)*MAX(0,IFERROR(1+VLOOKUP($B346,$F$6:$I$19,4,FALSE),IFERROR(1+INDEX($U$6:$U$505,MATCH($B346,$S$6:$S$505,0)),1)))-(SUMIFS($D$6:$D346,$B$6:$B346,$B346,$A$6:$A346,"&lt;="&amp;$A346)-$D346)),2),0)</f>
      </c>
    </row>
    <row r="347" spans="1:24" x14ac:dyDescent="0.25">
      <c r="A347" s="9">
        <v>46317</v>
      </c>
      <c r="B347" s="10"/>
      <c r="C347" s="10"/>
      <c r="D347" s="11"/>
      <c r="P347">
        <f>IFERROR(IF(AND($B347&lt;&gt;"",$B347&lt;&gt;"Exterior",COUNTIF($B$6:B347,$B347)=1,COUNTIF($R$6:$R$12,$B347)=0),$B347,""),"")</f>
      </c>
      <c r="Q347">
        <f>IFERROR(IF(AND($C347&lt;&gt;"",$C347&lt;&gt;"Exterior",COUNTIF($C$6:C347,$C347)=1,COUNTIF($R$6:$R$12,$C347)=0,COUNTIF($B$6:$B$505,$C347)=0),$C347,""),"")</f>
      </c>
      <c r="X347">
        <f>IFERROR(ROUND(MAX(0,SUMIFS($D$6:$D347,$C$6:$C347,$B347,$A$6:$A347,"&lt;="&amp;$A347)*MAX(0,IFERROR(1+VLOOKUP($B347,$F$6:$I$19,4,FALSE),IFERROR(1+INDEX($U$6:$U$505,MATCH($B347,$S$6:$S$505,0)),1)))-(SUMIFS($D$6:$D347,$B$6:$B347,$B347,$A$6:$A347,"&lt;="&amp;$A347)-$D347)),2),0)</f>
      </c>
    </row>
    <row r="348" spans="1:24" x14ac:dyDescent="0.25">
      <c r="A348" s="9">
        <v>46317</v>
      </c>
      <c r="B348" s="10"/>
      <c r="C348" s="10"/>
      <c r="D348" s="11"/>
      <c r="P348">
        <f>IFERROR(IF(AND($B348&lt;&gt;"",$B348&lt;&gt;"Exterior",COUNTIF($B$6:B348,$B348)=1,COUNTIF($R$6:$R$12,$B348)=0),$B348,""),"")</f>
      </c>
      <c r="Q348">
        <f>IFERROR(IF(AND($C348&lt;&gt;"",$C348&lt;&gt;"Exterior",COUNTIF($C$6:C348,$C348)=1,COUNTIF($R$6:$R$12,$C348)=0,COUNTIF($B$6:$B$505,$C348)=0),$C348,""),"")</f>
      </c>
      <c r="X348">
        <f>IFERROR(ROUND(MAX(0,SUMIFS($D$6:$D348,$C$6:$C348,$B348,$A$6:$A348,"&lt;="&amp;$A348)*MAX(0,IFERROR(1+VLOOKUP($B348,$F$6:$I$19,4,FALSE),IFERROR(1+INDEX($U$6:$U$505,MATCH($B348,$S$6:$S$505,0)),1)))-(SUMIFS($D$6:$D348,$B$6:$B348,$B348,$A$6:$A348,"&lt;="&amp;$A348)-$D348)),2),0)</f>
      </c>
    </row>
    <row r="349" spans="1:24" x14ac:dyDescent="0.25">
      <c r="A349" s="9">
        <v>46317</v>
      </c>
      <c r="B349" s="10"/>
      <c r="C349" s="10"/>
      <c r="D349" s="11"/>
      <c r="P349">
        <f>IFERROR(IF(AND($B349&lt;&gt;"",$B349&lt;&gt;"Exterior",COUNTIF($B$6:B349,$B349)=1,COUNTIF($R$6:$R$12,$B349)=0),$B349,""),"")</f>
      </c>
      <c r="Q349">
        <f>IFERROR(IF(AND($C349&lt;&gt;"",$C349&lt;&gt;"Exterior",COUNTIF($C$6:C349,$C349)=1,COUNTIF($R$6:$R$12,$C349)=0,COUNTIF($B$6:$B$505,$C349)=0),$C349,""),"")</f>
      </c>
      <c r="X349">
        <f>IFERROR(ROUND(MAX(0,SUMIFS($D$6:$D349,$C$6:$C349,$B349,$A$6:$A349,"&lt;="&amp;$A349)*MAX(0,IFERROR(1+VLOOKUP($B349,$F$6:$I$19,4,FALSE),IFERROR(1+INDEX($U$6:$U$505,MATCH($B349,$S$6:$S$505,0)),1)))-(SUMIFS($D$6:$D349,$B$6:$B349,$B349,$A$6:$A349,"&lt;="&amp;$A349)-$D349)),2),0)</f>
      </c>
    </row>
    <row r="350" spans="1:24" x14ac:dyDescent="0.25">
      <c r="A350" s="9">
        <v>46317</v>
      </c>
      <c r="B350" s="10"/>
      <c r="C350" s="10"/>
      <c r="D350" s="11"/>
      <c r="P350">
        <f>IFERROR(IF(AND($B350&lt;&gt;"",$B350&lt;&gt;"Exterior",COUNTIF($B$6:B350,$B350)=1,COUNTIF($R$6:$R$12,$B350)=0),$B350,""),"")</f>
      </c>
      <c r="Q350">
        <f>IFERROR(IF(AND($C350&lt;&gt;"",$C350&lt;&gt;"Exterior",COUNTIF($C$6:C350,$C350)=1,COUNTIF($R$6:$R$12,$C350)=0,COUNTIF($B$6:$B$505,$C350)=0),$C350,""),"")</f>
      </c>
      <c r="X350">
        <f>IFERROR(ROUND(MAX(0,SUMIFS($D$6:$D350,$C$6:$C350,$B350,$A$6:$A350,"&lt;="&amp;$A350)*MAX(0,IFERROR(1+VLOOKUP($B350,$F$6:$I$19,4,FALSE),IFERROR(1+INDEX($U$6:$U$505,MATCH($B350,$S$6:$S$505,0)),1)))-(SUMIFS($D$6:$D350,$B$6:$B350,$B350,$A$6:$A350,"&lt;="&amp;$A350)-$D350)),2),0)</f>
      </c>
    </row>
    <row r="351" spans="1:24" x14ac:dyDescent="0.25">
      <c r="A351" s="9">
        <v>46317</v>
      </c>
      <c r="B351" s="10"/>
      <c r="C351" s="10"/>
      <c r="D351" s="11"/>
      <c r="P351">
        <f>IFERROR(IF(AND($B351&lt;&gt;"",$B351&lt;&gt;"Exterior",COUNTIF($B$6:B351,$B351)=1,COUNTIF($R$6:$R$12,$B351)=0),$B351,""),"")</f>
      </c>
      <c r="Q351">
        <f>IFERROR(IF(AND($C351&lt;&gt;"",$C351&lt;&gt;"Exterior",COUNTIF($C$6:C351,$C351)=1,COUNTIF($R$6:$R$12,$C351)=0,COUNTIF($B$6:$B$505,$C351)=0),$C351,""),"")</f>
      </c>
      <c r="X351">
        <f>IFERROR(ROUND(MAX(0,SUMIFS($D$6:$D351,$C$6:$C351,$B351,$A$6:$A351,"&lt;="&amp;$A351)*MAX(0,IFERROR(1+VLOOKUP($B351,$F$6:$I$19,4,FALSE),IFERROR(1+INDEX($U$6:$U$505,MATCH($B351,$S$6:$S$505,0)),1)))-(SUMIFS($D$6:$D351,$B$6:$B351,$B351,$A$6:$A351,"&lt;="&amp;$A351)-$D351)),2),0)</f>
      </c>
    </row>
    <row r="352" spans="1:24" x14ac:dyDescent="0.25">
      <c r="A352" s="9">
        <v>46317</v>
      </c>
      <c r="B352" s="10"/>
      <c r="C352" s="10"/>
      <c r="D352" s="11"/>
      <c r="P352">
        <f>IFERROR(IF(AND($B352&lt;&gt;"",$B352&lt;&gt;"Exterior",COUNTIF($B$6:B352,$B352)=1,COUNTIF($R$6:$R$12,$B352)=0),$B352,""),"")</f>
      </c>
      <c r="Q352">
        <f>IFERROR(IF(AND($C352&lt;&gt;"",$C352&lt;&gt;"Exterior",COUNTIF($C$6:C352,$C352)=1,COUNTIF($R$6:$R$12,$C352)=0,COUNTIF($B$6:$B$505,$C352)=0),$C352,""),"")</f>
      </c>
      <c r="X352">
        <f>IFERROR(ROUND(MAX(0,SUMIFS($D$6:$D352,$C$6:$C352,$B352,$A$6:$A352,"&lt;="&amp;$A352)*MAX(0,IFERROR(1+VLOOKUP($B352,$F$6:$I$19,4,FALSE),IFERROR(1+INDEX($U$6:$U$505,MATCH($B352,$S$6:$S$505,0)),1)))-(SUMIFS($D$6:$D352,$B$6:$B352,$B352,$A$6:$A352,"&lt;="&amp;$A352)-$D352)),2),0)</f>
      </c>
    </row>
    <row r="353" spans="1:24" x14ac:dyDescent="0.25">
      <c r="A353" s="9">
        <v>46317</v>
      </c>
      <c r="B353" s="10"/>
      <c r="C353" s="10"/>
      <c r="D353" s="11"/>
      <c r="P353">
        <f>IFERROR(IF(AND($B353&lt;&gt;"",$B353&lt;&gt;"Exterior",COUNTIF($B$6:B353,$B353)=1,COUNTIF($R$6:$R$12,$B353)=0),$B353,""),"")</f>
      </c>
      <c r="Q353">
        <f>IFERROR(IF(AND($C353&lt;&gt;"",$C353&lt;&gt;"Exterior",COUNTIF($C$6:C353,$C353)=1,COUNTIF($R$6:$R$12,$C353)=0,COUNTIF($B$6:$B$505,$C353)=0),$C353,""),"")</f>
      </c>
      <c r="X353">
        <f>IFERROR(ROUND(MAX(0,SUMIFS($D$6:$D353,$C$6:$C353,$B353,$A$6:$A353,"&lt;="&amp;$A353)*MAX(0,IFERROR(1+VLOOKUP($B353,$F$6:$I$19,4,FALSE),IFERROR(1+INDEX($U$6:$U$505,MATCH($B353,$S$6:$S$505,0)),1)))-(SUMIFS($D$6:$D353,$B$6:$B353,$B353,$A$6:$A353,"&lt;="&amp;$A353)-$D353)),2),0)</f>
      </c>
    </row>
    <row r="354" spans="1:24" x14ac:dyDescent="0.25">
      <c r="A354" s="9">
        <v>46317</v>
      </c>
      <c r="B354" s="10"/>
      <c r="C354" s="10"/>
      <c r="D354" s="11"/>
      <c r="P354">
        <f>IFERROR(IF(AND($B354&lt;&gt;"",$B354&lt;&gt;"Exterior",COUNTIF($B$6:B354,$B354)=1,COUNTIF($R$6:$R$12,$B354)=0),$B354,""),"")</f>
      </c>
      <c r="Q354">
        <f>IFERROR(IF(AND($C354&lt;&gt;"",$C354&lt;&gt;"Exterior",COUNTIF($C$6:C354,$C354)=1,COUNTIF($R$6:$R$12,$C354)=0,COUNTIF($B$6:$B$505,$C354)=0),$C354,""),"")</f>
      </c>
      <c r="X354">
        <f>IFERROR(ROUND(MAX(0,SUMIFS($D$6:$D354,$C$6:$C354,$B354,$A$6:$A354,"&lt;="&amp;$A354)*MAX(0,IFERROR(1+VLOOKUP($B354,$F$6:$I$19,4,FALSE),IFERROR(1+INDEX($U$6:$U$505,MATCH($B354,$S$6:$S$505,0)),1)))-(SUMIFS($D$6:$D354,$B$6:$B354,$B354,$A$6:$A354,"&lt;="&amp;$A354)-$D354)),2),0)</f>
      </c>
    </row>
    <row r="355" spans="1:24" x14ac:dyDescent="0.25">
      <c r="A355" s="9">
        <v>46317</v>
      </c>
      <c r="B355" s="10"/>
      <c r="C355" s="10"/>
      <c r="D355" s="11"/>
      <c r="P355">
        <f>IFERROR(IF(AND($B355&lt;&gt;"",$B355&lt;&gt;"Exterior",COUNTIF($B$6:B355,$B355)=1,COUNTIF($R$6:$R$12,$B355)=0),$B355,""),"")</f>
      </c>
      <c r="Q355">
        <f>IFERROR(IF(AND($C355&lt;&gt;"",$C355&lt;&gt;"Exterior",COUNTIF($C$6:C355,$C355)=1,COUNTIF($R$6:$R$12,$C355)=0,COUNTIF($B$6:$B$505,$C355)=0),$C355,""),"")</f>
      </c>
      <c r="X355">
        <f>IFERROR(ROUND(MAX(0,SUMIFS($D$6:$D355,$C$6:$C355,$B355,$A$6:$A355,"&lt;="&amp;$A355)*MAX(0,IFERROR(1+VLOOKUP($B355,$F$6:$I$19,4,FALSE),IFERROR(1+INDEX($U$6:$U$505,MATCH($B355,$S$6:$S$505,0)),1)))-(SUMIFS($D$6:$D355,$B$6:$B355,$B355,$A$6:$A355,"&lt;="&amp;$A355)-$D355)),2),0)</f>
      </c>
    </row>
    <row r="356" spans="1:24" x14ac:dyDescent="0.25">
      <c r="A356" s="9">
        <v>46317</v>
      </c>
      <c r="B356" s="10"/>
      <c r="C356" s="10"/>
      <c r="D356" s="11"/>
      <c r="P356">
        <f>IFERROR(IF(AND($B356&lt;&gt;"",$B356&lt;&gt;"Exterior",COUNTIF($B$6:B356,$B356)=1,COUNTIF($R$6:$R$12,$B356)=0),$B356,""),"")</f>
      </c>
      <c r="Q356">
        <f>IFERROR(IF(AND($C356&lt;&gt;"",$C356&lt;&gt;"Exterior",COUNTIF($C$6:C356,$C356)=1,COUNTIF($R$6:$R$12,$C356)=0,COUNTIF($B$6:$B$505,$C356)=0),$C356,""),"")</f>
      </c>
      <c r="X356">
        <f>IFERROR(ROUND(MAX(0,SUMIFS($D$6:$D356,$C$6:$C356,$B356,$A$6:$A356,"&lt;="&amp;$A356)*MAX(0,IFERROR(1+VLOOKUP($B356,$F$6:$I$19,4,FALSE),IFERROR(1+INDEX($U$6:$U$505,MATCH($B356,$S$6:$S$505,0)),1)))-(SUMIFS($D$6:$D356,$B$6:$B356,$B356,$A$6:$A356,"&lt;="&amp;$A356)-$D356)),2),0)</f>
      </c>
    </row>
    <row r="357" spans="1:24" x14ac:dyDescent="0.25">
      <c r="A357" s="9">
        <v>46317</v>
      </c>
      <c r="B357" s="10"/>
      <c r="C357" s="10"/>
      <c r="D357" s="11"/>
      <c r="P357">
        <f>IFERROR(IF(AND($B357&lt;&gt;"",$B357&lt;&gt;"Exterior",COUNTIF($B$6:B357,$B357)=1,COUNTIF($R$6:$R$12,$B357)=0),$B357,""),"")</f>
      </c>
      <c r="Q357">
        <f>IFERROR(IF(AND($C357&lt;&gt;"",$C357&lt;&gt;"Exterior",COUNTIF($C$6:C357,$C357)=1,COUNTIF($R$6:$R$12,$C357)=0,COUNTIF($B$6:$B$505,$C357)=0),$C357,""),"")</f>
      </c>
      <c r="X357">
        <f>IFERROR(ROUND(MAX(0,SUMIFS($D$6:$D357,$C$6:$C357,$B357,$A$6:$A357,"&lt;="&amp;$A357)*MAX(0,IFERROR(1+VLOOKUP($B357,$F$6:$I$19,4,FALSE),IFERROR(1+INDEX($U$6:$U$505,MATCH($B357,$S$6:$S$505,0)),1)))-(SUMIFS($D$6:$D357,$B$6:$B357,$B357,$A$6:$A357,"&lt;="&amp;$A357)-$D357)),2),0)</f>
      </c>
    </row>
    <row r="358" spans="1:24" x14ac:dyDescent="0.25">
      <c r="A358" s="9">
        <v>46317</v>
      </c>
      <c r="B358" s="10"/>
      <c r="C358" s="10"/>
      <c r="D358" s="11"/>
      <c r="P358">
        <f>IFERROR(IF(AND($B358&lt;&gt;"",$B358&lt;&gt;"Exterior",COUNTIF($B$6:B358,$B358)=1,COUNTIF($R$6:$R$12,$B358)=0),$B358,""),"")</f>
      </c>
      <c r="Q358">
        <f>IFERROR(IF(AND($C358&lt;&gt;"",$C358&lt;&gt;"Exterior",COUNTIF($C$6:C358,$C358)=1,COUNTIF($R$6:$R$12,$C358)=0,COUNTIF($B$6:$B$505,$C358)=0),$C358,""),"")</f>
      </c>
      <c r="X358">
        <f>IFERROR(ROUND(MAX(0,SUMIFS($D$6:$D358,$C$6:$C358,$B358,$A$6:$A358,"&lt;="&amp;$A358)*MAX(0,IFERROR(1+VLOOKUP($B358,$F$6:$I$19,4,FALSE),IFERROR(1+INDEX($U$6:$U$505,MATCH($B358,$S$6:$S$505,0)),1)))-(SUMIFS($D$6:$D358,$B$6:$B358,$B358,$A$6:$A358,"&lt;="&amp;$A358)-$D358)),2),0)</f>
      </c>
    </row>
    <row r="359" spans="1:24" x14ac:dyDescent="0.25">
      <c r="A359" s="9">
        <v>46317</v>
      </c>
      <c r="B359" s="10"/>
      <c r="C359" s="10"/>
      <c r="D359" s="11"/>
      <c r="P359">
        <f>IFERROR(IF(AND($B359&lt;&gt;"",$B359&lt;&gt;"Exterior",COUNTIF($B$6:B359,$B359)=1,COUNTIF($R$6:$R$12,$B359)=0),$B359,""),"")</f>
      </c>
      <c r="Q359">
        <f>IFERROR(IF(AND($C359&lt;&gt;"",$C359&lt;&gt;"Exterior",COUNTIF($C$6:C359,$C359)=1,COUNTIF($R$6:$R$12,$C359)=0,COUNTIF($B$6:$B$505,$C359)=0),$C359,""),"")</f>
      </c>
      <c r="X359">
        <f>IFERROR(ROUND(MAX(0,SUMIFS($D$6:$D359,$C$6:$C359,$B359,$A$6:$A359,"&lt;="&amp;$A359)*MAX(0,IFERROR(1+VLOOKUP($B359,$F$6:$I$19,4,FALSE),IFERROR(1+INDEX($U$6:$U$505,MATCH($B359,$S$6:$S$505,0)),1)))-(SUMIFS($D$6:$D359,$B$6:$B359,$B359,$A$6:$A359,"&lt;="&amp;$A359)-$D359)),2),0)</f>
      </c>
    </row>
    <row r="360" spans="1:24" x14ac:dyDescent="0.25">
      <c r="A360" s="9">
        <v>46317</v>
      </c>
      <c r="B360" s="10"/>
      <c r="C360" s="10"/>
      <c r="D360" s="11"/>
      <c r="P360">
        <f>IFERROR(IF(AND($B360&lt;&gt;"",$B360&lt;&gt;"Exterior",COUNTIF($B$6:B360,$B360)=1,COUNTIF($R$6:$R$12,$B360)=0),$B360,""),"")</f>
      </c>
      <c r="Q360">
        <f>IFERROR(IF(AND($C360&lt;&gt;"",$C360&lt;&gt;"Exterior",COUNTIF($C$6:C360,$C360)=1,COUNTIF($R$6:$R$12,$C360)=0,COUNTIF($B$6:$B$505,$C360)=0),$C360,""),"")</f>
      </c>
      <c r="X360">
        <f>IFERROR(ROUND(MAX(0,SUMIFS($D$6:$D360,$C$6:$C360,$B360,$A$6:$A360,"&lt;="&amp;$A360)*MAX(0,IFERROR(1+VLOOKUP($B360,$F$6:$I$19,4,FALSE),IFERROR(1+INDEX($U$6:$U$505,MATCH($B360,$S$6:$S$505,0)),1)))-(SUMIFS($D$6:$D360,$B$6:$B360,$B360,$A$6:$A360,"&lt;="&amp;$A360)-$D360)),2),0)</f>
      </c>
    </row>
    <row r="361" spans="1:24" x14ac:dyDescent="0.25">
      <c r="A361" s="9">
        <v>46317</v>
      </c>
      <c r="B361" s="10"/>
      <c r="C361" s="10"/>
      <c r="D361" s="11"/>
      <c r="P361">
        <f>IFERROR(IF(AND($B361&lt;&gt;"",$B361&lt;&gt;"Exterior",COUNTIF($B$6:B361,$B361)=1,COUNTIF($R$6:$R$12,$B361)=0),$B361,""),"")</f>
      </c>
      <c r="Q361">
        <f>IFERROR(IF(AND($C361&lt;&gt;"",$C361&lt;&gt;"Exterior",COUNTIF($C$6:C361,$C361)=1,COUNTIF($R$6:$R$12,$C361)=0,COUNTIF($B$6:$B$505,$C361)=0),$C361,""),"")</f>
      </c>
      <c r="X361">
        <f>IFERROR(ROUND(MAX(0,SUMIFS($D$6:$D361,$C$6:$C361,$B361,$A$6:$A361,"&lt;="&amp;$A361)*MAX(0,IFERROR(1+VLOOKUP($B361,$F$6:$I$19,4,FALSE),IFERROR(1+INDEX($U$6:$U$505,MATCH($B361,$S$6:$S$505,0)),1)))-(SUMIFS($D$6:$D361,$B$6:$B361,$B361,$A$6:$A361,"&lt;="&amp;$A361)-$D361)),2),0)</f>
      </c>
    </row>
    <row r="362" spans="1:24" x14ac:dyDescent="0.25">
      <c r="A362" s="9">
        <v>46317</v>
      </c>
      <c r="B362" s="10"/>
      <c r="C362" s="10"/>
      <c r="D362" s="11"/>
      <c r="P362">
        <f>IFERROR(IF(AND($B362&lt;&gt;"",$B362&lt;&gt;"Exterior",COUNTIF($B$6:B362,$B362)=1,COUNTIF($R$6:$R$12,$B362)=0),$B362,""),"")</f>
      </c>
      <c r="Q362">
        <f>IFERROR(IF(AND($C362&lt;&gt;"",$C362&lt;&gt;"Exterior",COUNTIF($C$6:C362,$C362)=1,COUNTIF($R$6:$R$12,$C362)=0,COUNTIF($B$6:$B$505,$C362)=0),$C362,""),"")</f>
      </c>
      <c r="X362">
        <f>IFERROR(ROUND(MAX(0,SUMIFS($D$6:$D362,$C$6:$C362,$B362,$A$6:$A362,"&lt;="&amp;$A362)*MAX(0,IFERROR(1+VLOOKUP($B362,$F$6:$I$19,4,FALSE),IFERROR(1+INDEX($U$6:$U$505,MATCH($B362,$S$6:$S$505,0)),1)))-(SUMIFS($D$6:$D362,$B$6:$B362,$B362,$A$6:$A362,"&lt;="&amp;$A362)-$D362)),2),0)</f>
      </c>
    </row>
    <row r="363" spans="1:24" x14ac:dyDescent="0.25">
      <c r="A363" s="9">
        <v>46317</v>
      </c>
      <c r="B363" s="10"/>
      <c r="C363" s="10"/>
      <c r="D363" s="11"/>
      <c r="P363">
        <f>IFERROR(IF(AND($B363&lt;&gt;"",$B363&lt;&gt;"Exterior",COUNTIF($B$6:B363,$B363)=1,COUNTIF($R$6:$R$12,$B363)=0),$B363,""),"")</f>
      </c>
      <c r="Q363">
        <f>IFERROR(IF(AND($C363&lt;&gt;"",$C363&lt;&gt;"Exterior",COUNTIF($C$6:C363,$C363)=1,COUNTIF($R$6:$R$12,$C363)=0,COUNTIF($B$6:$B$505,$C363)=0),$C363,""),"")</f>
      </c>
      <c r="X363">
        <f>IFERROR(ROUND(MAX(0,SUMIFS($D$6:$D363,$C$6:$C363,$B363,$A$6:$A363,"&lt;="&amp;$A363)*MAX(0,IFERROR(1+VLOOKUP($B363,$F$6:$I$19,4,FALSE),IFERROR(1+INDEX($U$6:$U$505,MATCH($B363,$S$6:$S$505,0)),1)))-(SUMIFS($D$6:$D363,$B$6:$B363,$B363,$A$6:$A363,"&lt;="&amp;$A363)-$D363)),2),0)</f>
      </c>
    </row>
    <row r="364" spans="1:24" x14ac:dyDescent="0.25">
      <c r="A364" s="9">
        <v>46317</v>
      </c>
      <c r="B364" s="10"/>
      <c r="C364" s="10"/>
      <c r="D364" s="11"/>
      <c r="P364">
        <f>IFERROR(IF(AND($B364&lt;&gt;"",$B364&lt;&gt;"Exterior",COUNTIF($B$6:B364,$B364)=1,COUNTIF($R$6:$R$12,$B364)=0),$B364,""),"")</f>
      </c>
      <c r="Q364">
        <f>IFERROR(IF(AND($C364&lt;&gt;"",$C364&lt;&gt;"Exterior",COUNTIF($C$6:C364,$C364)=1,COUNTIF($R$6:$R$12,$C364)=0,COUNTIF($B$6:$B$505,$C364)=0),$C364,""),"")</f>
      </c>
      <c r="X364">
        <f>IFERROR(ROUND(MAX(0,SUMIFS($D$6:$D364,$C$6:$C364,$B364,$A$6:$A364,"&lt;="&amp;$A364)*MAX(0,IFERROR(1+VLOOKUP($B364,$F$6:$I$19,4,FALSE),IFERROR(1+INDEX($U$6:$U$505,MATCH($B364,$S$6:$S$505,0)),1)))-(SUMIFS($D$6:$D364,$B$6:$B364,$B364,$A$6:$A364,"&lt;="&amp;$A364)-$D364)),2),0)</f>
      </c>
    </row>
    <row r="365" spans="1:24" x14ac:dyDescent="0.25">
      <c r="A365" s="9">
        <v>46317</v>
      </c>
      <c r="B365" s="10"/>
      <c r="C365" s="10"/>
      <c r="D365" s="11"/>
      <c r="P365">
        <f>IFERROR(IF(AND($B365&lt;&gt;"",$B365&lt;&gt;"Exterior",COUNTIF($B$6:B365,$B365)=1,COUNTIF($R$6:$R$12,$B365)=0),$B365,""),"")</f>
      </c>
      <c r="Q365">
        <f>IFERROR(IF(AND($C365&lt;&gt;"",$C365&lt;&gt;"Exterior",COUNTIF($C$6:C365,$C365)=1,COUNTIF($R$6:$R$12,$C365)=0,COUNTIF($B$6:$B$505,$C365)=0),$C365,""),"")</f>
      </c>
      <c r="X365">
        <f>IFERROR(ROUND(MAX(0,SUMIFS($D$6:$D365,$C$6:$C365,$B365,$A$6:$A365,"&lt;="&amp;$A365)*MAX(0,IFERROR(1+VLOOKUP($B365,$F$6:$I$19,4,FALSE),IFERROR(1+INDEX($U$6:$U$505,MATCH($B365,$S$6:$S$505,0)),1)))-(SUMIFS($D$6:$D365,$B$6:$B365,$B365,$A$6:$A365,"&lt;="&amp;$A365)-$D365)),2),0)</f>
      </c>
    </row>
    <row r="366" spans="1:24" x14ac:dyDescent="0.25">
      <c r="A366" s="9">
        <v>46317</v>
      </c>
      <c r="B366" s="10"/>
      <c r="C366" s="10"/>
      <c r="D366" s="11"/>
      <c r="P366">
        <f>IFERROR(IF(AND($B366&lt;&gt;"",$B366&lt;&gt;"Exterior",COUNTIF($B$6:B366,$B366)=1,COUNTIF($R$6:$R$12,$B366)=0),$B366,""),"")</f>
      </c>
      <c r="Q366">
        <f>IFERROR(IF(AND($C366&lt;&gt;"",$C366&lt;&gt;"Exterior",COUNTIF($C$6:C366,$C366)=1,COUNTIF($R$6:$R$12,$C366)=0,COUNTIF($B$6:$B$505,$C366)=0),$C366,""),"")</f>
      </c>
      <c r="X366">
        <f>IFERROR(ROUND(MAX(0,SUMIFS($D$6:$D366,$C$6:$C366,$B366,$A$6:$A366,"&lt;="&amp;$A366)*MAX(0,IFERROR(1+VLOOKUP($B366,$F$6:$I$19,4,FALSE),IFERROR(1+INDEX($U$6:$U$505,MATCH($B366,$S$6:$S$505,0)),1)))-(SUMIFS($D$6:$D366,$B$6:$B366,$B366,$A$6:$A366,"&lt;="&amp;$A366)-$D366)),2),0)</f>
      </c>
    </row>
    <row r="367" spans="1:24" x14ac:dyDescent="0.25">
      <c r="A367" s="9">
        <v>46317</v>
      </c>
      <c r="B367" s="10"/>
      <c r="C367" s="10"/>
      <c r="D367" s="11"/>
      <c r="P367">
        <f>IFERROR(IF(AND($B367&lt;&gt;"",$B367&lt;&gt;"Exterior",COUNTIF($B$6:B367,$B367)=1,COUNTIF($R$6:$R$12,$B367)=0),$B367,""),"")</f>
      </c>
      <c r="Q367">
        <f>IFERROR(IF(AND($C367&lt;&gt;"",$C367&lt;&gt;"Exterior",COUNTIF($C$6:C367,$C367)=1,COUNTIF($R$6:$R$12,$C367)=0,COUNTIF($B$6:$B$505,$C367)=0),$C367,""),"")</f>
      </c>
      <c r="X367">
        <f>IFERROR(ROUND(MAX(0,SUMIFS($D$6:$D367,$C$6:$C367,$B367,$A$6:$A367,"&lt;="&amp;$A367)*MAX(0,IFERROR(1+VLOOKUP($B367,$F$6:$I$19,4,FALSE),IFERROR(1+INDEX($U$6:$U$505,MATCH($B367,$S$6:$S$505,0)),1)))-(SUMIFS($D$6:$D367,$B$6:$B367,$B367,$A$6:$A367,"&lt;="&amp;$A367)-$D367)),2),0)</f>
      </c>
    </row>
    <row r="368" spans="1:24" x14ac:dyDescent="0.25">
      <c r="A368" s="9">
        <v>46317</v>
      </c>
      <c r="B368" s="10"/>
      <c r="C368" s="10"/>
      <c r="D368" s="11"/>
      <c r="P368">
        <f>IFERROR(IF(AND($B368&lt;&gt;"",$B368&lt;&gt;"Exterior",COUNTIF($B$6:B368,$B368)=1,COUNTIF($R$6:$R$12,$B368)=0),$B368,""),"")</f>
      </c>
      <c r="Q368">
        <f>IFERROR(IF(AND($C368&lt;&gt;"",$C368&lt;&gt;"Exterior",COUNTIF($C$6:C368,$C368)=1,COUNTIF($R$6:$R$12,$C368)=0,COUNTIF($B$6:$B$505,$C368)=0),$C368,""),"")</f>
      </c>
      <c r="X368">
        <f>IFERROR(ROUND(MAX(0,SUMIFS($D$6:$D368,$C$6:$C368,$B368,$A$6:$A368,"&lt;="&amp;$A368)*MAX(0,IFERROR(1+VLOOKUP($B368,$F$6:$I$19,4,FALSE),IFERROR(1+INDEX($U$6:$U$505,MATCH($B368,$S$6:$S$505,0)),1)))-(SUMIFS($D$6:$D368,$B$6:$B368,$B368,$A$6:$A368,"&lt;="&amp;$A368)-$D368)),2),0)</f>
      </c>
    </row>
    <row r="369" spans="1:24" x14ac:dyDescent="0.25">
      <c r="A369" s="9">
        <v>46317</v>
      </c>
      <c r="B369" s="10"/>
      <c r="C369" s="10"/>
      <c r="D369" s="11"/>
      <c r="P369">
        <f>IFERROR(IF(AND($B369&lt;&gt;"",$B369&lt;&gt;"Exterior",COUNTIF($B$6:B369,$B369)=1,COUNTIF($R$6:$R$12,$B369)=0),$B369,""),"")</f>
      </c>
      <c r="Q369">
        <f>IFERROR(IF(AND($C369&lt;&gt;"",$C369&lt;&gt;"Exterior",COUNTIF($C$6:C369,$C369)=1,COUNTIF($R$6:$R$12,$C369)=0,COUNTIF($B$6:$B$505,$C369)=0),$C369,""),"")</f>
      </c>
      <c r="X369">
        <f>IFERROR(ROUND(MAX(0,SUMIFS($D$6:$D369,$C$6:$C369,$B369,$A$6:$A369,"&lt;="&amp;$A369)*MAX(0,IFERROR(1+VLOOKUP($B369,$F$6:$I$19,4,FALSE),IFERROR(1+INDEX($U$6:$U$505,MATCH($B369,$S$6:$S$505,0)),1)))-(SUMIFS($D$6:$D369,$B$6:$B369,$B369,$A$6:$A369,"&lt;="&amp;$A369)-$D369)),2),0)</f>
      </c>
    </row>
    <row r="370" spans="1:24" x14ac:dyDescent="0.25">
      <c r="A370" s="9">
        <v>46317</v>
      </c>
      <c r="B370" s="10"/>
      <c r="C370" s="10"/>
      <c r="D370" s="11"/>
      <c r="P370">
        <f>IFERROR(IF(AND($B370&lt;&gt;"",$B370&lt;&gt;"Exterior",COUNTIF($B$6:B370,$B370)=1,COUNTIF($R$6:$R$12,$B370)=0),$B370,""),"")</f>
      </c>
      <c r="Q370">
        <f>IFERROR(IF(AND($C370&lt;&gt;"",$C370&lt;&gt;"Exterior",COUNTIF($C$6:C370,$C370)=1,COUNTIF($R$6:$R$12,$C370)=0,COUNTIF($B$6:$B$505,$C370)=0),$C370,""),"")</f>
      </c>
      <c r="X370">
        <f>IFERROR(ROUND(MAX(0,SUMIFS($D$6:$D370,$C$6:$C370,$B370,$A$6:$A370,"&lt;="&amp;$A370)*MAX(0,IFERROR(1+VLOOKUP($B370,$F$6:$I$19,4,FALSE),IFERROR(1+INDEX($U$6:$U$505,MATCH($B370,$S$6:$S$505,0)),1)))-(SUMIFS($D$6:$D370,$B$6:$B370,$B370,$A$6:$A370,"&lt;="&amp;$A370)-$D370)),2),0)</f>
      </c>
    </row>
    <row r="371" spans="1:24" x14ac:dyDescent="0.25">
      <c r="A371" s="9">
        <v>46317</v>
      </c>
      <c r="B371" s="10"/>
      <c r="C371" s="10"/>
      <c r="D371" s="11"/>
      <c r="P371">
        <f>IFERROR(IF(AND($B371&lt;&gt;"",$B371&lt;&gt;"Exterior",COUNTIF($B$6:B371,$B371)=1,COUNTIF($R$6:$R$12,$B371)=0),$B371,""),"")</f>
      </c>
      <c r="Q371">
        <f>IFERROR(IF(AND($C371&lt;&gt;"",$C371&lt;&gt;"Exterior",COUNTIF($C$6:C371,$C371)=1,COUNTIF($R$6:$R$12,$C371)=0,COUNTIF($B$6:$B$505,$C371)=0),$C371,""),"")</f>
      </c>
      <c r="X371">
        <f>IFERROR(ROUND(MAX(0,SUMIFS($D$6:$D371,$C$6:$C371,$B371,$A$6:$A371,"&lt;="&amp;$A371)*MAX(0,IFERROR(1+VLOOKUP($B371,$F$6:$I$19,4,FALSE),IFERROR(1+INDEX($U$6:$U$505,MATCH($B371,$S$6:$S$505,0)),1)))-(SUMIFS($D$6:$D371,$B$6:$B371,$B371,$A$6:$A371,"&lt;="&amp;$A371)-$D371)),2),0)</f>
      </c>
    </row>
    <row r="372" spans="1:24" x14ac:dyDescent="0.25">
      <c r="A372" s="9">
        <v>46317</v>
      </c>
      <c r="B372" s="10"/>
      <c r="C372" s="10"/>
      <c r="D372" s="11"/>
      <c r="P372">
        <f>IFERROR(IF(AND($B372&lt;&gt;"",$B372&lt;&gt;"Exterior",COUNTIF($B$6:B372,$B372)=1,COUNTIF($R$6:$R$12,$B372)=0),$B372,""),"")</f>
      </c>
      <c r="Q372">
        <f>IFERROR(IF(AND($C372&lt;&gt;"",$C372&lt;&gt;"Exterior",COUNTIF($C$6:C372,$C372)=1,COUNTIF($R$6:$R$12,$C372)=0,COUNTIF($B$6:$B$505,$C372)=0),$C372,""),"")</f>
      </c>
      <c r="X372">
        <f>IFERROR(ROUND(MAX(0,SUMIFS($D$6:$D372,$C$6:$C372,$B372,$A$6:$A372,"&lt;="&amp;$A372)*MAX(0,IFERROR(1+VLOOKUP($B372,$F$6:$I$19,4,FALSE),IFERROR(1+INDEX($U$6:$U$505,MATCH($B372,$S$6:$S$505,0)),1)))-(SUMIFS($D$6:$D372,$B$6:$B372,$B372,$A$6:$A372,"&lt;="&amp;$A372)-$D372)),2),0)</f>
      </c>
    </row>
    <row r="373" spans="1:24" x14ac:dyDescent="0.25">
      <c r="A373" s="9">
        <v>46317</v>
      </c>
      <c r="B373" s="10"/>
      <c r="C373" s="10"/>
      <c r="D373" s="11"/>
      <c r="P373">
        <f>IFERROR(IF(AND($B373&lt;&gt;"",$B373&lt;&gt;"Exterior",COUNTIF($B$6:B373,$B373)=1,COUNTIF($R$6:$R$12,$B373)=0),$B373,""),"")</f>
      </c>
      <c r="Q373">
        <f>IFERROR(IF(AND($C373&lt;&gt;"",$C373&lt;&gt;"Exterior",COUNTIF($C$6:C373,$C373)=1,COUNTIF($R$6:$R$12,$C373)=0,COUNTIF($B$6:$B$505,$C373)=0),$C373,""),"")</f>
      </c>
      <c r="X373">
        <f>IFERROR(ROUND(MAX(0,SUMIFS($D$6:$D373,$C$6:$C373,$B373,$A$6:$A373,"&lt;="&amp;$A373)*MAX(0,IFERROR(1+VLOOKUP($B373,$F$6:$I$19,4,FALSE),IFERROR(1+INDEX($U$6:$U$505,MATCH($B373,$S$6:$S$505,0)),1)))-(SUMIFS($D$6:$D373,$B$6:$B373,$B373,$A$6:$A373,"&lt;="&amp;$A373)-$D373)),2),0)</f>
      </c>
    </row>
    <row r="374" spans="1:24" x14ac:dyDescent="0.25">
      <c r="A374" s="9">
        <v>46317</v>
      </c>
      <c r="B374" s="10"/>
      <c r="C374" s="10"/>
      <c r="D374" s="11"/>
      <c r="P374">
        <f>IFERROR(IF(AND($B374&lt;&gt;"",$B374&lt;&gt;"Exterior",COUNTIF($B$6:B374,$B374)=1,COUNTIF($R$6:$R$12,$B374)=0),$B374,""),"")</f>
      </c>
      <c r="Q374">
        <f>IFERROR(IF(AND($C374&lt;&gt;"",$C374&lt;&gt;"Exterior",COUNTIF($C$6:C374,$C374)=1,COUNTIF($R$6:$R$12,$C374)=0,COUNTIF($B$6:$B$505,$C374)=0),$C374,""),"")</f>
      </c>
      <c r="X374">
        <f>IFERROR(ROUND(MAX(0,SUMIFS($D$6:$D374,$C$6:$C374,$B374,$A$6:$A374,"&lt;="&amp;$A374)*MAX(0,IFERROR(1+VLOOKUP($B374,$F$6:$I$19,4,FALSE),IFERROR(1+INDEX($U$6:$U$505,MATCH($B374,$S$6:$S$505,0)),1)))-(SUMIFS($D$6:$D374,$B$6:$B374,$B374,$A$6:$A374,"&lt;="&amp;$A374)-$D374)),2),0)</f>
      </c>
    </row>
    <row r="375" spans="1:24" x14ac:dyDescent="0.25">
      <c r="A375" s="9">
        <v>46317</v>
      </c>
      <c r="B375" s="10"/>
      <c r="C375" s="10"/>
      <c r="D375" s="11"/>
      <c r="P375">
        <f>IFERROR(IF(AND($B375&lt;&gt;"",$B375&lt;&gt;"Exterior",COUNTIF($B$6:B375,$B375)=1,COUNTIF($R$6:$R$12,$B375)=0),$B375,""),"")</f>
      </c>
      <c r="Q375">
        <f>IFERROR(IF(AND($C375&lt;&gt;"",$C375&lt;&gt;"Exterior",COUNTIF($C$6:C375,$C375)=1,COUNTIF($R$6:$R$12,$C375)=0,COUNTIF($B$6:$B$505,$C375)=0),$C375,""),"")</f>
      </c>
      <c r="X375">
        <f>IFERROR(ROUND(MAX(0,SUMIFS($D$6:$D375,$C$6:$C375,$B375,$A$6:$A375,"&lt;="&amp;$A375)*MAX(0,IFERROR(1+VLOOKUP($B375,$F$6:$I$19,4,FALSE),IFERROR(1+INDEX($U$6:$U$505,MATCH($B375,$S$6:$S$505,0)),1)))-(SUMIFS($D$6:$D375,$B$6:$B375,$B375,$A$6:$A375,"&lt;="&amp;$A375)-$D375)),2),0)</f>
      </c>
    </row>
    <row r="376" spans="1:24" x14ac:dyDescent="0.25">
      <c r="A376" s="9">
        <v>46317</v>
      </c>
      <c r="B376" s="10"/>
      <c r="C376" s="10"/>
      <c r="D376" s="11"/>
      <c r="P376">
        <f>IFERROR(IF(AND($B376&lt;&gt;"",$B376&lt;&gt;"Exterior",COUNTIF($B$6:B376,$B376)=1,COUNTIF($R$6:$R$12,$B376)=0),$B376,""),"")</f>
      </c>
      <c r="Q376">
        <f>IFERROR(IF(AND($C376&lt;&gt;"",$C376&lt;&gt;"Exterior",COUNTIF($C$6:C376,$C376)=1,COUNTIF($R$6:$R$12,$C376)=0,COUNTIF($B$6:$B$505,$C376)=0),$C376,""),"")</f>
      </c>
      <c r="X376">
        <f>IFERROR(ROUND(MAX(0,SUMIFS($D$6:$D376,$C$6:$C376,$B376,$A$6:$A376,"&lt;="&amp;$A376)*MAX(0,IFERROR(1+VLOOKUP($B376,$F$6:$I$19,4,FALSE),IFERROR(1+INDEX($U$6:$U$505,MATCH($B376,$S$6:$S$505,0)),1)))-(SUMIFS($D$6:$D376,$B$6:$B376,$B376,$A$6:$A376,"&lt;="&amp;$A376)-$D376)),2),0)</f>
      </c>
    </row>
    <row r="377" spans="1:24" x14ac:dyDescent="0.25">
      <c r="A377" s="9">
        <v>46317</v>
      </c>
      <c r="B377" s="10"/>
      <c r="C377" s="10"/>
      <c r="D377" s="11"/>
      <c r="P377">
        <f>IFERROR(IF(AND($B377&lt;&gt;"",$B377&lt;&gt;"Exterior",COUNTIF($B$6:B377,$B377)=1,COUNTIF($R$6:$R$12,$B377)=0),$B377,""),"")</f>
      </c>
      <c r="Q377">
        <f>IFERROR(IF(AND($C377&lt;&gt;"",$C377&lt;&gt;"Exterior",COUNTIF($C$6:C377,$C377)=1,COUNTIF($R$6:$R$12,$C377)=0,COUNTIF($B$6:$B$505,$C377)=0),$C377,""),"")</f>
      </c>
      <c r="X377">
        <f>IFERROR(ROUND(MAX(0,SUMIFS($D$6:$D377,$C$6:$C377,$B377,$A$6:$A377,"&lt;="&amp;$A377)*MAX(0,IFERROR(1+VLOOKUP($B377,$F$6:$I$19,4,FALSE),IFERROR(1+INDEX($U$6:$U$505,MATCH($B377,$S$6:$S$505,0)),1)))-(SUMIFS($D$6:$D377,$B$6:$B377,$B377,$A$6:$A377,"&lt;="&amp;$A377)-$D377)),2),0)</f>
      </c>
    </row>
    <row r="378" spans="1:24" x14ac:dyDescent="0.25">
      <c r="A378" s="9">
        <v>46317</v>
      </c>
      <c r="B378" s="10"/>
      <c r="C378" s="10"/>
      <c r="D378" s="11"/>
      <c r="P378">
        <f>IFERROR(IF(AND($B378&lt;&gt;"",$B378&lt;&gt;"Exterior",COUNTIF($B$6:B378,$B378)=1,COUNTIF($R$6:$R$12,$B378)=0),$B378,""),"")</f>
      </c>
      <c r="Q378">
        <f>IFERROR(IF(AND($C378&lt;&gt;"",$C378&lt;&gt;"Exterior",COUNTIF($C$6:C378,$C378)=1,COUNTIF($R$6:$R$12,$C378)=0,COUNTIF($B$6:$B$505,$C378)=0),$C378,""),"")</f>
      </c>
      <c r="X378">
        <f>IFERROR(ROUND(MAX(0,SUMIFS($D$6:$D378,$C$6:$C378,$B378,$A$6:$A378,"&lt;="&amp;$A378)*MAX(0,IFERROR(1+VLOOKUP($B378,$F$6:$I$19,4,FALSE),IFERROR(1+INDEX($U$6:$U$505,MATCH($B378,$S$6:$S$505,0)),1)))-(SUMIFS($D$6:$D378,$B$6:$B378,$B378,$A$6:$A378,"&lt;="&amp;$A378)-$D378)),2),0)</f>
      </c>
    </row>
    <row r="379" spans="1:24" x14ac:dyDescent="0.25">
      <c r="A379" s="9">
        <v>46317</v>
      </c>
      <c r="B379" s="10"/>
      <c r="C379" s="10"/>
      <c r="D379" s="11"/>
      <c r="P379">
        <f>IFERROR(IF(AND($B379&lt;&gt;"",$B379&lt;&gt;"Exterior",COUNTIF($B$6:B379,$B379)=1,COUNTIF($R$6:$R$12,$B379)=0),$B379,""),"")</f>
      </c>
      <c r="Q379">
        <f>IFERROR(IF(AND($C379&lt;&gt;"",$C379&lt;&gt;"Exterior",COUNTIF($C$6:C379,$C379)=1,COUNTIF($R$6:$R$12,$C379)=0,COUNTIF($B$6:$B$505,$C379)=0),$C379,""),"")</f>
      </c>
      <c r="X379">
        <f>IFERROR(ROUND(MAX(0,SUMIFS($D$6:$D379,$C$6:$C379,$B379,$A$6:$A379,"&lt;="&amp;$A379)*MAX(0,IFERROR(1+VLOOKUP($B379,$F$6:$I$19,4,FALSE),IFERROR(1+INDEX($U$6:$U$505,MATCH($B379,$S$6:$S$505,0)),1)))-(SUMIFS($D$6:$D379,$B$6:$B379,$B379,$A$6:$A379,"&lt;="&amp;$A379)-$D379)),2),0)</f>
      </c>
    </row>
    <row r="380" spans="1:24" x14ac:dyDescent="0.25">
      <c r="A380" s="9">
        <v>46317</v>
      </c>
      <c r="B380" s="10"/>
      <c r="C380" s="10"/>
      <c r="D380" s="11"/>
      <c r="P380">
        <f>IFERROR(IF(AND($B380&lt;&gt;"",$B380&lt;&gt;"Exterior",COUNTIF($B$6:B380,$B380)=1,COUNTIF($R$6:$R$12,$B380)=0),$B380,""),"")</f>
      </c>
      <c r="Q380">
        <f>IFERROR(IF(AND($C380&lt;&gt;"",$C380&lt;&gt;"Exterior",COUNTIF($C$6:C380,$C380)=1,COUNTIF($R$6:$R$12,$C380)=0,COUNTIF($B$6:$B$505,$C380)=0),$C380,""),"")</f>
      </c>
      <c r="X380">
        <f>IFERROR(ROUND(MAX(0,SUMIFS($D$6:$D380,$C$6:$C380,$B380,$A$6:$A380,"&lt;="&amp;$A380)*MAX(0,IFERROR(1+VLOOKUP($B380,$F$6:$I$19,4,FALSE),IFERROR(1+INDEX($U$6:$U$505,MATCH($B380,$S$6:$S$505,0)),1)))-(SUMIFS($D$6:$D380,$B$6:$B380,$B380,$A$6:$A380,"&lt;="&amp;$A380)-$D380)),2),0)</f>
      </c>
    </row>
    <row r="381" spans="1:24" x14ac:dyDescent="0.25">
      <c r="A381" s="9">
        <v>46317</v>
      </c>
      <c r="B381" s="10"/>
      <c r="C381" s="10"/>
      <c r="D381" s="11"/>
      <c r="P381">
        <f>IFERROR(IF(AND($B381&lt;&gt;"",$B381&lt;&gt;"Exterior",COUNTIF($B$6:B381,$B381)=1,COUNTIF($R$6:$R$12,$B381)=0),$B381,""),"")</f>
      </c>
      <c r="Q381">
        <f>IFERROR(IF(AND($C381&lt;&gt;"",$C381&lt;&gt;"Exterior",COUNTIF($C$6:C381,$C381)=1,COUNTIF($R$6:$R$12,$C381)=0,COUNTIF($B$6:$B$505,$C381)=0),$C381,""),"")</f>
      </c>
      <c r="X381">
        <f>IFERROR(ROUND(MAX(0,SUMIFS($D$6:$D381,$C$6:$C381,$B381,$A$6:$A381,"&lt;="&amp;$A381)*MAX(0,IFERROR(1+VLOOKUP($B381,$F$6:$I$19,4,FALSE),IFERROR(1+INDEX($U$6:$U$505,MATCH($B381,$S$6:$S$505,0)),1)))-(SUMIFS($D$6:$D381,$B$6:$B381,$B381,$A$6:$A381,"&lt;="&amp;$A381)-$D381)),2),0)</f>
      </c>
    </row>
    <row r="382" spans="1:24" x14ac:dyDescent="0.25">
      <c r="A382" s="9">
        <v>46317</v>
      </c>
      <c r="B382" s="10"/>
      <c r="C382" s="10"/>
      <c r="D382" s="11"/>
      <c r="P382">
        <f>IFERROR(IF(AND($B382&lt;&gt;"",$B382&lt;&gt;"Exterior",COUNTIF($B$6:B382,$B382)=1,COUNTIF($R$6:$R$12,$B382)=0),$B382,""),"")</f>
      </c>
      <c r="Q382">
        <f>IFERROR(IF(AND($C382&lt;&gt;"",$C382&lt;&gt;"Exterior",COUNTIF($C$6:C382,$C382)=1,COUNTIF($R$6:$R$12,$C382)=0,COUNTIF($B$6:$B$505,$C382)=0),$C382,""),"")</f>
      </c>
      <c r="X382">
        <f>IFERROR(ROUND(MAX(0,SUMIFS($D$6:$D382,$C$6:$C382,$B382,$A$6:$A382,"&lt;="&amp;$A382)*MAX(0,IFERROR(1+VLOOKUP($B382,$F$6:$I$19,4,FALSE),IFERROR(1+INDEX($U$6:$U$505,MATCH($B382,$S$6:$S$505,0)),1)))-(SUMIFS($D$6:$D382,$B$6:$B382,$B382,$A$6:$A382,"&lt;="&amp;$A382)-$D382)),2),0)</f>
      </c>
    </row>
    <row r="383" spans="1:24" x14ac:dyDescent="0.25">
      <c r="A383" s="9">
        <v>46317</v>
      </c>
      <c r="B383" s="10"/>
      <c r="C383" s="10"/>
      <c r="D383" s="11"/>
      <c r="P383">
        <f>IFERROR(IF(AND($B383&lt;&gt;"",$B383&lt;&gt;"Exterior",COUNTIF($B$6:B383,$B383)=1,COUNTIF($R$6:$R$12,$B383)=0),$B383,""),"")</f>
      </c>
      <c r="Q383">
        <f>IFERROR(IF(AND($C383&lt;&gt;"",$C383&lt;&gt;"Exterior",COUNTIF($C$6:C383,$C383)=1,COUNTIF($R$6:$R$12,$C383)=0,COUNTIF($B$6:$B$505,$C383)=0),$C383,""),"")</f>
      </c>
      <c r="X383">
        <f>IFERROR(ROUND(MAX(0,SUMIFS($D$6:$D383,$C$6:$C383,$B383,$A$6:$A383,"&lt;="&amp;$A383)*MAX(0,IFERROR(1+VLOOKUP($B383,$F$6:$I$19,4,FALSE),IFERROR(1+INDEX($U$6:$U$505,MATCH($B383,$S$6:$S$505,0)),1)))-(SUMIFS($D$6:$D383,$B$6:$B383,$B383,$A$6:$A383,"&lt;="&amp;$A383)-$D383)),2),0)</f>
      </c>
    </row>
    <row r="384" spans="1:24" x14ac:dyDescent="0.25">
      <c r="A384" s="9">
        <v>46317</v>
      </c>
      <c r="B384" s="10"/>
      <c r="C384" s="10"/>
      <c r="D384" s="11"/>
      <c r="P384">
        <f>IFERROR(IF(AND($B384&lt;&gt;"",$B384&lt;&gt;"Exterior",COUNTIF($B$6:B384,$B384)=1,COUNTIF($R$6:$R$12,$B384)=0),$B384,""),"")</f>
      </c>
      <c r="Q384">
        <f>IFERROR(IF(AND($C384&lt;&gt;"",$C384&lt;&gt;"Exterior",COUNTIF($C$6:C384,$C384)=1,COUNTIF($R$6:$R$12,$C384)=0,COUNTIF($B$6:$B$505,$C384)=0),$C384,""),"")</f>
      </c>
      <c r="X384">
        <f>IFERROR(ROUND(MAX(0,SUMIFS($D$6:$D384,$C$6:$C384,$B384,$A$6:$A384,"&lt;="&amp;$A384)*MAX(0,IFERROR(1+VLOOKUP($B384,$F$6:$I$19,4,FALSE),IFERROR(1+INDEX($U$6:$U$505,MATCH($B384,$S$6:$S$505,0)),1)))-(SUMIFS($D$6:$D384,$B$6:$B384,$B384,$A$6:$A384,"&lt;="&amp;$A384)-$D384)),2),0)</f>
      </c>
    </row>
    <row r="385" spans="1:24" x14ac:dyDescent="0.25">
      <c r="A385" s="9">
        <v>46317</v>
      </c>
      <c r="B385" s="10"/>
      <c r="C385" s="10"/>
      <c r="D385" s="11"/>
      <c r="P385">
        <f>IFERROR(IF(AND($B385&lt;&gt;"",$B385&lt;&gt;"Exterior",COUNTIF($B$6:B385,$B385)=1,COUNTIF($R$6:$R$12,$B385)=0),$B385,""),"")</f>
      </c>
      <c r="Q385">
        <f>IFERROR(IF(AND($C385&lt;&gt;"",$C385&lt;&gt;"Exterior",COUNTIF($C$6:C385,$C385)=1,COUNTIF($R$6:$R$12,$C385)=0,COUNTIF($B$6:$B$505,$C385)=0),$C385,""),"")</f>
      </c>
      <c r="X385">
        <f>IFERROR(ROUND(MAX(0,SUMIFS($D$6:$D385,$C$6:$C385,$B385,$A$6:$A385,"&lt;="&amp;$A385)*MAX(0,IFERROR(1+VLOOKUP($B385,$F$6:$I$19,4,FALSE),IFERROR(1+INDEX($U$6:$U$505,MATCH($B385,$S$6:$S$505,0)),1)))-(SUMIFS($D$6:$D385,$B$6:$B385,$B385,$A$6:$A385,"&lt;="&amp;$A385)-$D385)),2),0)</f>
      </c>
    </row>
    <row r="386" spans="1:24" x14ac:dyDescent="0.25">
      <c r="A386" s="9">
        <v>46317</v>
      </c>
      <c r="B386" s="10"/>
      <c r="C386" s="10"/>
      <c r="D386" s="11"/>
      <c r="P386">
        <f>IFERROR(IF(AND($B386&lt;&gt;"",$B386&lt;&gt;"Exterior",COUNTIF($B$6:B386,$B386)=1,COUNTIF($R$6:$R$12,$B386)=0),$B386,""),"")</f>
      </c>
      <c r="Q386">
        <f>IFERROR(IF(AND($C386&lt;&gt;"",$C386&lt;&gt;"Exterior",COUNTIF($C$6:C386,$C386)=1,COUNTIF($R$6:$R$12,$C386)=0,COUNTIF($B$6:$B$505,$C386)=0),$C386,""),"")</f>
      </c>
      <c r="X386">
        <f>IFERROR(ROUND(MAX(0,SUMIFS($D$6:$D386,$C$6:$C386,$B386,$A$6:$A386,"&lt;="&amp;$A386)*MAX(0,IFERROR(1+VLOOKUP($B386,$F$6:$I$19,4,FALSE),IFERROR(1+INDEX($U$6:$U$505,MATCH($B386,$S$6:$S$505,0)),1)))-(SUMIFS($D$6:$D386,$B$6:$B386,$B386,$A$6:$A386,"&lt;="&amp;$A386)-$D386)),2),0)</f>
      </c>
    </row>
    <row r="387" spans="1:24" x14ac:dyDescent="0.25">
      <c r="A387" s="9">
        <v>46317</v>
      </c>
      <c r="B387" s="10"/>
      <c r="C387" s="10"/>
      <c r="D387" s="11"/>
      <c r="P387">
        <f>IFERROR(IF(AND($B387&lt;&gt;"",$B387&lt;&gt;"Exterior",COUNTIF($B$6:B387,$B387)=1,COUNTIF($R$6:$R$12,$B387)=0),$B387,""),"")</f>
      </c>
      <c r="Q387">
        <f>IFERROR(IF(AND($C387&lt;&gt;"",$C387&lt;&gt;"Exterior",COUNTIF($C$6:C387,$C387)=1,COUNTIF($R$6:$R$12,$C387)=0,COUNTIF($B$6:$B$505,$C387)=0),$C387,""),"")</f>
      </c>
      <c r="X387">
        <f>IFERROR(ROUND(MAX(0,SUMIFS($D$6:$D387,$C$6:$C387,$B387,$A$6:$A387,"&lt;="&amp;$A387)*MAX(0,IFERROR(1+VLOOKUP($B387,$F$6:$I$19,4,FALSE),IFERROR(1+INDEX($U$6:$U$505,MATCH($B387,$S$6:$S$505,0)),1)))-(SUMIFS($D$6:$D387,$B$6:$B387,$B387,$A$6:$A387,"&lt;="&amp;$A387)-$D387)),2),0)</f>
      </c>
    </row>
    <row r="388" spans="1:24" x14ac:dyDescent="0.25">
      <c r="A388" s="9">
        <v>46317</v>
      </c>
      <c r="B388" s="10"/>
      <c r="C388" s="10"/>
      <c r="D388" s="11"/>
      <c r="P388">
        <f>IFERROR(IF(AND($B388&lt;&gt;"",$B388&lt;&gt;"Exterior",COUNTIF($B$6:B388,$B388)=1,COUNTIF($R$6:$R$12,$B388)=0),$B388,""),"")</f>
      </c>
      <c r="Q388">
        <f>IFERROR(IF(AND($C388&lt;&gt;"",$C388&lt;&gt;"Exterior",COUNTIF($C$6:C388,$C388)=1,COUNTIF($R$6:$R$12,$C388)=0,COUNTIF($B$6:$B$505,$C388)=0),$C388,""),"")</f>
      </c>
      <c r="X388">
        <f>IFERROR(ROUND(MAX(0,SUMIFS($D$6:$D388,$C$6:$C388,$B388,$A$6:$A388,"&lt;="&amp;$A388)*MAX(0,IFERROR(1+VLOOKUP($B388,$F$6:$I$19,4,FALSE),IFERROR(1+INDEX($U$6:$U$505,MATCH($B388,$S$6:$S$505,0)),1)))-(SUMIFS($D$6:$D388,$B$6:$B388,$B388,$A$6:$A388,"&lt;="&amp;$A388)-$D388)),2),0)</f>
      </c>
    </row>
    <row r="389" spans="1:24" x14ac:dyDescent="0.25">
      <c r="A389" s="9">
        <v>46317</v>
      </c>
      <c r="B389" s="10"/>
      <c r="C389" s="10"/>
      <c r="D389" s="11"/>
      <c r="P389">
        <f>IFERROR(IF(AND($B389&lt;&gt;"",$B389&lt;&gt;"Exterior",COUNTIF($B$6:B389,$B389)=1,COUNTIF($R$6:$R$12,$B389)=0),$B389,""),"")</f>
      </c>
      <c r="Q389">
        <f>IFERROR(IF(AND($C389&lt;&gt;"",$C389&lt;&gt;"Exterior",COUNTIF($C$6:C389,$C389)=1,COUNTIF($R$6:$R$12,$C389)=0,COUNTIF($B$6:$B$505,$C389)=0),$C389,""),"")</f>
      </c>
      <c r="X389">
        <f>IFERROR(ROUND(MAX(0,SUMIFS($D$6:$D389,$C$6:$C389,$B389,$A$6:$A389,"&lt;="&amp;$A389)*MAX(0,IFERROR(1+VLOOKUP($B389,$F$6:$I$19,4,FALSE),IFERROR(1+INDEX($U$6:$U$505,MATCH($B389,$S$6:$S$505,0)),1)))-(SUMIFS($D$6:$D389,$B$6:$B389,$B389,$A$6:$A389,"&lt;="&amp;$A389)-$D389)),2),0)</f>
      </c>
    </row>
    <row r="390" spans="1:24" x14ac:dyDescent="0.25">
      <c r="A390" s="9">
        <v>46317</v>
      </c>
      <c r="B390" s="10"/>
      <c r="C390" s="10"/>
      <c r="D390" s="11"/>
      <c r="P390">
        <f>IFERROR(IF(AND($B390&lt;&gt;"",$B390&lt;&gt;"Exterior",COUNTIF($B$6:B390,$B390)=1,COUNTIF($R$6:$R$12,$B390)=0),$B390,""),"")</f>
      </c>
      <c r="Q390">
        <f>IFERROR(IF(AND($C390&lt;&gt;"",$C390&lt;&gt;"Exterior",COUNTIF($C$6:C390,$C390)=1,COUNTIF($R$6:$R$12,$C390)=0,COUNTIF($B$6:$B$505,$C390)=0),$C390,""),"")</f>
      </c>
      <c r="X390">
        <f>IFERROR(ROUND(MAX(0,SUMIFS($D$6:$D390,$C$6:$C390,$B390,$A$6:$A390,"&lt;="&amp;$A390)*MAX(0,IFERROR(1+VLOOKUP($B390,$F$6:$I$19,4,FALSE),IFERROR(1+INDEX($U$6:$U$505,MATCH($B390,$S$6:$S$505,0)),1)))-(SUMIFS($D$6:$D390,$B$6:$B390,$B390,$A$6:$A390,"&lt;="&amp;$A390)-$D390)),2),0)</f>
      </c>
    </row>
    <row r="391" spans="1:24" x14ac:dyDescent="0.25">
      <c r="A391" s="9">
        <v>46317</v>
      </c>
      <c r="B391" s="10"/>
      <c r="C391" s="10"/>
      <c r="D391" s="11"/>
      <c r="P391">
        <f>IFERROR(IF(AND($B391&lt;&gt;"",$B391&lt;&gt;"Exterior",COUNTIF($B$6:B391,$B391)=1,COUNTIF($R$6:$R$12,$B391)=0),$B391,""),"")</f>
      </c>
      <c r="Q391">
        <f>IFERROR(IF(AND($C391&lt;&gt;"",$C391&lt;&gt;"Exterior",COUNTIF($C$6:C391,$C391)=1,COUNTIF($R$6:$R$12,$C391)=0,COUNTIF($B$6:$B$505,$C391)=0),$C391,""),"")</f>
      </c>
      <c r="X391">
        <f>IFERROR(ROUND(MAX(0,SUMIFS($D$6:$D391,$C$6:$C391,$B391,$A$6:$A391,"&lt;="&amp;$A391)*MAX(0,IFERROR(1+VLOOKUP($B391,$F$6:$I$19,4,FALSE),IFERROR(1+INDEX($U$6:$U$505,MATCH($B391,$S$6:$S$505,0)),1)))-(SUMIFS($D$6:$D391,$B$6:$B391,$B391,$A$6:$A391,"&lt;="&amp;$A391)-$D391)),2),0)</f>
      </c>
    </row>
    <row r="392" spans="1:24" x14ac:dyDescent="0.25">
      <c r="A392" s="9">
        <v>46317</v>
      </c>
      <c r="B392" s="10"/>
      <c r="C392" s="10"/>
      <c r="D392" s="11"/>
      <c r="P392">
        <f>IFERROR(IF(AND($B392&lt;&gt;"",$B392&lt;&gt;"Exterior",COUNTIF($B$6:B392,$B392)=1,COUNTIF($R$6:$R$12,$B392)=0),$B392,""),"")</f>
      </c>
      <c r="Q392">
        <f>IFERROR(IF(AND($C392&lt;&gt;"",$C392&lt;&gt;"Exterior",COUNTIF($C$6:C392,$C392)=1,COUNTIF($R$6:$R$12,$C392)=0,COUNTIF($B$6:$B$505,$C392)=0),$C392,""),"")</f>
      </c>
      <c r="X392">
        <f>IFERROR(ROUND(MAX(0,SUMIFS($D$6:$D392,$C$6:$C392,$B392,$A$6:$A392,"&lt;="&amp;$A392)*MAX(0,IFERROR(1+VLOOKUP($B392,$F$6:$I$19,4,FALSE),IFERROR(1+INDEX($U$6:$U$505,MATCH($B392,$S$6:$S$505,0)),1)))-(SUMIFS($D$6:$D392,$B$6:$B392,$B392,$A$6:$A392,"&lt;="&amp;$A392)-$D392)),2),0)</f>
      </c>
    </row>
    <row r="393" spans="1:24" x14ac:dyDescent="0.25">
      <c r="A393" s="9">
        <v>46317</v>
      </c>
      <c r="B393" s="10"/>
      <c r="C393" s="10"/>
      <c r="D393" s="11"/>
      <c r="P393">
        <f>IFERROR(IF(AND($B393&lt;&gt;"",$B393&lt;&gt;"Exterior",COUNTIF($B$6:B393,$B393)=1,COUNTIF($R$6:$R$12,$B393)=0),$B393,""),"")</f>
      </c>
      <c r="Q393">
        <f>IFERROR(IF(AND($C393&lt;&gt;"",$C393&lt;&gt;"Exterior",COUNTIF($C$6:C393,$C393)=1,COUNTIF($R$6:$R$12,$C393)=0,COUNTIF($B$6:$B$505,$C393)=0),$C393,""),"")</f>
      </c>
      <c r="X393">
        <f>IFERROR(ROUND(MAX(0,SUMIFS($D$6:$D393,$C$6:$C393,$B393,$A$6:$A393,"&lt;="&amp;$A393)*MAX(0,IFERROR(1+VLOOKUP($B393,$F$6:$I$19,4,FALSE),IFERROR(1+INDEX($U$6:$U$505,MATCH($B393,$S$6:$S$505,0)),1)))-(SUMIFS($D$6:$D393,$B$6:$B393,$B393,$A$6:$A393,"&lt;="&amp;$A393)-$D393)),2),0)</f>
      </c>
    </row>
    <row r="394" spans="1:24" x14ac:dyDescent="0.25">
      <c r="A394" s="9">
        <v>46317</v>
      </c>
      <c r="B394" s="10"/>
      <c r="C394" s="10"/>
      <c r="D394" s="11"/>
      <c r="P394">
        <f>IFERROR(IF(AND($B394&lt;&gt;"",$B394&lt;&gt;"Exterior",COUNTIF($B$6:B394,$B394)=1,COUNTIF($R$6:$R$12,$B394)=0),$B394,""),"")</f>
      </c>
      <c r="Q394">
        <f>IFERROR(IF(AND($C394&lt;&gt;"",$C394&lt;&gt;"Exterior",COUNTIF($C$6:C394,$C394)=1,COUNTIF($R$6:$R$12,$C394)=0,COUNTIF($B$6:$B$505,$C394)=0),$C394,""),"")</f>
      </c>
      <c r="X394">
        <f>IFERROR(ROUND(MAX(0,SUMIFS($D$6:$D394,$C$6:$C394,$B394,$A$6:$A394,"&lt;="&amp;$A394)*MAX(0,IFERROR(1+VLOOKUP($B394,$F$6:$I$19,4,FALSE),IFERROR(1+INDEX($U$6:$U$505,MATCH($B394,$S$6:$S$505,0)),1)))-(SUMIFS($D$6:$D394,$B$6:$B394,$B394,$A$6:$A394,"&lt;="&amp;$A394)-$D394)),2),0)</f>
      </c>
    </row>
    <row r="395" spans="1:24" x14ac:dyDescent="0.25">
      <c r="A395" s="9">
        <v>46317</v>
      </c>
      <c r="B395" s="10"/>
      <c r="C395" s="10"/>
      <c r="D395" s="11"/>
      <c r="P395">
        <f>IFERROR(IF(AND($B395&lt;&gt;"",$B395&lt;&gt;"Exterior",COUNTIF($B$6:B395,$B395)=1,COUNTIF($R$6:$R$12,$B395)=0),$B395,""),"")</f>
      </c>
      <c r="Q395">
        <f>IFERROR(IF(AND($C395&lt;&gt;"",$C395&lt;&gt;"Exterior",COUNTIF($C$6:C395,$C395)=1,COUNTIF($R$6:$R$12,$C395)=0,COUNTIF($B$6:$B$505,$C395)=0),$C395,""),"")</f>
      </c>
      <c r="X395">
        <f>IFERROR(ROUND(MAX(0,SUMIFS($D$6:$D395,$C$6:$C395,$B395,$A$6:$A395,"&lt;="&amp;$A395)*MAX(0,IFERROR(1+VLOOKUP($B395,$F$6:$I$19,4,FALSE),IFERROR(1+INDEX($U$6:$U$505,MATCH($B395,$S$6:$S$505,0)),1)))-(SUMIFS($D$6:$D395,$B$6:$B395,$B395,$A$6:$A395,"&lt;="&amp;$A395)-$D395)),2),0)</f>
      </c>
    </row>
    <row r="396" spans="1:24" x14ac:dyDescent="0.25">
      <c r="A396" s="9">
        <v>46317</v>
      </c>
      <c r="B396" s="10"/>
      <c r="C396" s="10"/>
      <c r="D396" s="11"/>
      <c r="P396">
        <f>IFERROR(IF(AND($B396&lt;&gt;"",$B396&lt;&gt;"Exterior",COUNTIF($B$6:B396,$B396)=1,COUNTIF($R$6:$R$12,$B396)=0),$B396,""),"")</f>
      </c>
      <c r="Q396">
        <f>IFERROR(IF(AND($C396&lt;&gt;"",$C396&lt;&gt;"Exterior",COUNTIF($C$6:C396,$C396)=1,COUNTIF($R$6:$R$12,$C396)=0,COUNTIF($B$6:$B$505,$C396)=0),$C396,""),"")</f>
      </c>
      <c r="X396">
        <f>IFERROR(ROUND(MAX(0,SUMIFS($D$6:$D396,$C$6:$C396,$B396,$A$6:$A396,"&lt;="&amp;$A396)*MAX(0,IFERROR(1+VLOOKUP($B396,$F$6:$I$19,4,FALSE),IFERROR(1+INDEX($U$6:$U$505,MATCH($B396,$S$6:$S$505,0)),1)))-(SUMIFS($D$6:$D396,$B$6:$B396,$B396,$A$6:$A396,"&lt;="&amp;$A396)-$D396)),2),0)</f>
      </c>
    </row>
    <row r="397" spans="1:24" x14ac:dyDescent="0.25">
      <c r="A397" s="9">
        <v>46317</v>
      </c>
      <c r="B397" s="10"/>
      <c r="C397" s="10"/>
      <c r="D397" s="11"/>
      <c r="P397">
        <f>IFERROR(IF(AND($B397&lt;&gt;"",$B397&lt;&gt;"Exterior",COUNTIF($B$6:B397,$B397)=1,COUNTIF($R$6:$R$12,$B397)=0),$B397,""),"")</f>
      </c>
      <c r="Q397">
        <f>IFERROR(IF(AND($C397&lt;&gt;"",$C397&lt;&gt;"Exterior",COUNTIF($C$6:C397,$C397)=1,COUNTIF($R$6:$R$12,$C397)=0,COUNTIF($B$6:$B$505,$C397)=0),$C397,""),"")</f>
      </c>
      <c r="X397">
        <f>IFERROR(ROUND(MAX(0,SUMIFS($D$6:$D397,$C$6:$C397,$B397,$A$6:$A397,"&lt;="&amp;$A397)*MAX(0,IFERROR(1+VLOOKUP($B397,$F$6:$I$19,4,FALSE),IFERROR(1+INDEX($U$6:$U$505,MATCH($B397,$S$6:$S$505,0)),1)))-(SUMIFS($D$6:$D397,$B$6:$B397,$B397,$A$6:$A397,"&lt;="&amp;$A397)-$D397)),2),0)</f>
      </c>
    </row>
    <row r="398" spans="1:24" x14ac:dyDescent="0.25">
      <c r="A398" s="9">
        <v>46317</v>
      </c>
      <c r="B398" s="10"/>
      <c r="C398" s="10"/>
      <c r="D398" s="11"/>
      <c r="P398">
        <f>IFERROR(IF(AND($B398&lt;&gt;"",$B398&lt;&gt;"Exterior",COUNTIF($B$6:B398,$B398)=1,COUNTIF($R$6:$R$12,$B398)=0),$B398,""),"")</f>
      </c>
      <c r="Q398">
        <f>IFERROR(IF(AND($C398&lt;&gt;"",$C398&lt;&gt;"Exterior",COUNTIF($C$6:C398,$C398)=1,COUNTIF($R$6:$R$12,$C398)=0,COUNTIF($B$6:$B$505,$C398)=0),$C398,""),"")</f>
      </c>
      <c r="X398">
        <f>IFERROR(ROUND(MAX(0,SUMIFS($D$6:$D398,$C$6:$C398,$B398,$A$6:$A398,"&lt;="&amp;$A398)*MAX(0,IFERROR(1+VLOOKUP($B398,$F$6:$I$19,4,FALSE),IFERROR(1+INDEX($U$6:$U$505,MATCH($B398,$S$6:$S$505,0)),1)))-(SUMIFS($D$6:$D398,$B$6:$B398,$B398,$A$6:$A398,"&lt;="&amp;$A398)-$D398)),2),0)</f>
      </c>
    </row>
    <row r="399" spans="1:24" x14ac:dyDescent="0.25">
      <c r="A399" s="9">
        <v>46317</v>
      </c>
      <c r="B399" s="10"/>
      <c r="C399" s="10"/>
      <c r="D399" s="11"/>
      <c r="P399">
        <f>IFERROR(IF(AND($B399&lt;&gt;"",$B399&lt;&gt;"Exterior",COUNTIF($B$6:B399,$B399)=1,COUNTIF($R$6:$R$12,$B399)=0),$B399,""),"")</f>
      </c>
      <c r="Q399">
        <f>IFERROR(IF(AND($C399&lt;&gt;"",$C399&lt;&gt;"Exterior",COUNTIF($C$6:C399,$C399)=1,COUNTIF($R$6:$R$12,$C399)=0,COUNTIF($B$6:$B$505,$C399)=0),$C399,""),"")</f>
      </c>
      <c r="X399">
        <f>IFERROR(ROUND(MAX(0,SUMIFS($D$6:$D399,$C$6:$C399,$B399,$A$6:$A399,"&lt;="&amp;$A399)*MAX(0,IFERROR(1+VLOOKUP($B399,$F$6:$I$19,4,FALSE),IFERROR(1+INDEX($U$6:$U$505,MATCH($B399,$S$6:$S$505,0)),1)))-(SUMIFS($D$6:$D399,$B$6:$B399,$B399,$A$6:$A399,"&lt;="&amp;$A399)-$D399)),2),0)</f>
      </c>
    </row>
    <row r="400" spans="1:24" x14ac:dyDescent="0.25">
      <c r="A400" s="9">
        <v>46317</v>
      </c>
      <c r="B400" s="10"/>
      <c r="C400" s="10"/>
      <c r="D400" s="11"/>
      <c r="P400">
        <f>IFERROR(IF(AND($B400&lt;&gt;"",$B400&lt;&gt;"Exterior",COUNTIF($B$6:B400,$B400)=1,COUNTIF($R$6:$R$12,$B400)=0),$B400,""),"")</f>
      </c>
      <c r="Q400">
        <f>IFERROR(IF(AND($C400&lt;&gt;"",$C400&lt;&gt;"Exterior",COUNTIF($C$6:C400,$C400)=1,COUNTIF($R$6:$R$12,$C400)=0,COUNTIF($B$6:$B$505,$C400)=0),$C400,""),"")</f>
      </c>
      <c r="X400">
        <f>IFERROR(ROUND(MAX(0,SUMIFS($D$6:$D400,$C$6:$C400,$B400,$A$6:$A400,"&lt;="&amp;$A400)*MAX(0,IFERROR(1+VLOOKUP($B400,$F$6:$I$19,4,FALSE),IFERROR(1+INDEX($U$6:$U$505,MATCH($B400,$S$6:$S$505,0)),1)))-(SUMIFS($D$6:$D400,$B$6:$B400,$B400,$A$6:$A400,"&lt;="&amp;$A400)-$D400)),2),0)</f>
      </c>
    </row>
    <row r="401" spans="1:24" x14ac:dyDescent="0.25">
      <c r="A401" s="9">
        <v>46317</v>
      </c>
      <c r="B401" s="10"/>
      <c r="C401" s="10"/>
      <c r="D401" s="11"/>
      <c r="P401">
        <f>IFERROR(IF(AND($B401&lt;&gt;"",$B401&lt;&gt;"Exterior",COUNTIF($B$6:B401,$B401)=1,COUNTIF($R$6:$R$12,$B401)=0),$B401,""),"")</f>
      </c>
      <c r="Q401">
        <f>IFERROR(IF(AND($C401&lt;&gt;"",$C401&lt;&gt;"Exterior",COUNTIF($C$6:C401,$C401)=1,COUNTIF($R$6:$R$12,$C401)=0,COUNTIF($B$6:$B$505,$C401)=0),$C401,""),"")</f>
      </c>
      <c r="X401">
        <f>IFERROR(ROUND(MAX(0,SUMIFS($D$6:$D401,$C$6:$C401,$B401,$A$6:$A401,"&lt;="&amp;$A401)*MAX(0,IFERROR(1+VLOOKUP($B401,$F$6:$I$19,4,FALSE),IFERROR(1+INDEX($U$6:$U$505,MATCH($B401,$S$6:$S$505,0)),1)))-(SUMIFS($D$6:$D401,$B$6:$B401,$B401,$A$6:$A401,"&lt;="&amp;$A401)-$D401)),2),0)</f>
      </c>
    </row>
    <row r="402" spans="1:24" x14ac:dyDescent="0.25">
      <c r="A402" s="9">
        <v>46317</v>
      </c>
      <c r="B402" s="10"/>
      <c r="C402" s="10"/>
      <c r="D402" s="11"/>
      <c r="P402">
        <f>IFERROR(IF(AND($B402&lt;&gt;"",$B402&lt;&gt;"Exterior",COUNTIF($B$6:B402,$B402)=1,COUNTIF($R$6:$R$12,$B402)=0),$B402,""),"")</f>
      </c>
      <c r="Q402">
        <f>IFERROR(IF(AND($C402&lt;&gt;"",$C402&lt;&gt;"Exterior",COUNTIF($C$6:C402,$C402)=1,COUNTIF($R$6:$R$12,$C402)=0,COUNTIF($B$6:$B$505,$C402)=0),$C402,""),"")</f>
      </c>
      <c r="X402">
        <f>IFERROR(ROUND(MAX(0,SUMIFS($D$6:$D402,$C$6:$C402,$B402,$A$6:$A402,"&lt;="&amp;$A402)*MAX(0,IFERROR(1+VLOOKUP($B402,$F$6:$I$19,4,FALSE),IFERROR(1+INDEX($U$6:$U$505,MATCH($B402,$S$6:$S$505,0)),1)))-(SUMIFS($D$6:$D402,$B$6:$B402,$B402,$A$6:$A402,"&lt;="&amp;$A402)-$D402)),2),0)</f>
      </c>
    </row>
    <row r="403" spans="1:24" x14ac:dyDescent="0.25">
      <c r="A403" s="9">
        <v>46317</v>
      </c>
      <c r="B403" s="10"/>
      <c r="C403" s="10"/>
      <c r="D403" s="11"/>
      <c r="P403">
        <f>IFERROR(IF(AND($B403&lt;&gt;"",$B403&lt;&gt;"Exterior",COUNTIF($B$6:B403,$B403)=1,COUNTIF($R$6:$R$12,$B403)=0),$B403,""),"")</f>
      </c>
      <c r="Q403">
        <f>IFERROR(IF(AND($C403&lt;&gt;"",$C403&lt;&gt;"Exterior",COUNTIF($C$6:C403,$C403)=1,COUNTIF($R$6:$R$12,$C403)=0,COUNTIF($B$6:$B$505,$C403)=0),$C403,""),"")</f>
      </c>
      <c r="X403">
        <f>IFERROR(ROUND(MAX(0,SUMIFS($D$6:$D403,$C$6:$C403,$B403,$A$6:$A403,"&lt;="&amp;$A403)*MAX(0,IFERROR(1+VLOOKUP($B403,$F$6:$I$19,4,FALSE),IFERROR(1+INDEX($U$6:$U$505,MATCH($B403,$S$6:$S$505,0)),1)))-(SUMIFS($D$6:$D403,$B$6:$B403,$B403,$A$6:$A403,"&lt;="&amp;$A403)-$D403)),2),0)</f>
      </c>
    </row>
    <row r="404" spans="1:24" x14ac:dyDescent="0.25">
      <c r="A404" s="9">
        <v>46317</v>
      </c>
      <c r="B404" s="10"/>
      <c r="C404" s="10"/>
      <c r="D404" s="11"/>
      <c r="P404">
        <f>IFERROR(IF(AND($B404&lt;&gt;"",$B404&lt;&gt;"Exterior",COUNTIF($B$6:B404,$B404)=1,COUNTIF($R$6:$R$12,$B404)=0),$B404,""),"")</f>
      </c>
      <c r="Q404">
        <f>IFERROR(IF(AND($C404&lt;&gt;"",$C404&lt;&gt;"Exterior",COUNTIF($C$6:C404,$C404)=1,COUNTIF($R$6:$R$12,$C404)=0,COUNTIF($B$6:$B$505,$C404)=0),$C404,""),"")</f>
      </c>
      <c r="X404">
        <f>IFERROR(ROUND(MAX(0,SUMIFS($D$6:$D404,$C$6:$C404,$B404,$A$6:$A404,"&lt;="&amp;$A404)*MAX(0,IFERROR(1+VLOOKUP($B404,$F$6:$I$19,4,FALSE),IFERROR(1+INDEX($U$6:$U$505,MATCH($B404,$S$6:$S$505,0)),1)))-(SUMIFS($D$6:$D404,$B$6:$B404,$B404,$A$6:$A404,"&lt;="&amp;$A404)-$D404)),2),0)</f>
      </c>
    </row>
    <row r="405" spans="1:24" x14ac:dyDescent="0.25">
      <c r="A405" s="9">
        <v>46317</v>
      </c>
      <c r="B405" s="10"/>
      <c r="C405" s="10"/>
      <c r="D405" s="11"/>
      <c r="P405">
        <f>IFERROR(IF(AND($B405&lt;&gt;"",$B405&lt;&gt;"Exterior",COUNTIF($B$6:B405,$B405)=1,COUNTIF($R$6:$R$12,$B405)=0),$B405,""),"")</f>
      </c>
      <c r="Q405">
        <f>IFERROR(IF(AND($C405&lt;&gt;"",$C405&lt;&gt;"Exterior",COUNTIF($C$6:C405,$C405)=1,COUNTIF($R$6:$R$12,$C405)=0,COUNTIF($B$6:$B$505,$C405)=0),$C405,""),"")</f>
      </c>
      <c r="X405">
        <f>IFERROR(ROUND(MAX(0,SUMIFS($D$6:$D405,$C$6:$C405,$B405,$A$6:$A405,"&lt;="&amp;$A405)*MAX(0,IFERROR(1+VLOOKUP($B405,$F$6:$I$19,4,FALSE),IFERROR(1+INDEX($U$6:$U$505,MATCH($B405,$S$6:$S$505,0)),1)))-(SUMIFS($D$6:$D405,$B$6:$B405,$B405,$A$6:$A405,"&lt;="&amp;$A405)-$D405)),2),0)</f>
      </c>
    </row>
    <row r="406" spans="1:24" x14ac:dyDescent="0.25">
      <c r="A406" s="9">
        <v>46317</v>
      </c>
      <c r="B406" s="10"/>
      <c r="C406" s="10"/>
      <c r="D406" s="11"/>
      <c r="P406">
        <f>IFERROR(IF(AND($B406&lt;&gt;"",$B406&lt;&gt;"Exterior",COUNTIF($B$6:B406,$B406)=1,COUNTIF($R$6:$R$12,$B406)=0),$B406,""),"")</f>
      </c>
      <c r="Q406">
        <f>IFERROR(IF(AND($C406&lt;&gt;"",$C406&lt;&gt;"Exterior",COUNTIF($C$6:C406,$C406)=1,COUNTIF($R$6:$R$12,$C406)=0,COUNTIF($B$6:$B$505,$C406)=0),$C406,""),"")</f>
      </c>
      <c r="X406">
        <f>IFERROR(ROUND(MAX(0,SUMIFS($D$6:$D406,$C$6:$C406,$B406,$A$6:$A406,"&lt;="&amp;$A406)*MAX(0,IFERROR(1+VLOOKUP($B406,$F$6:$I$19,4,FALSE),IFERROR(1+INDEX($U$6:$U$505,MATCH($B406,$S$6:$S$505,0)),1)))-(SUMIFS($D$6:$D406,$B$6:$B406,$B406,$A$6:$A406,"&lt;="&amp;$A406)-$D406)),2),0)</f>
      </c>
    </row>
    <row r="407" spans="1:24" x14ac:dyDescent="0.25">
      <c r="A407" s="9">
        <v>46317</v>
      </c>
      <c r="B407" s="10"/>
      <c r="C407" s="10"/>
      <c r="D407" s="11"/>
      <c r="P407">
        <f>IFERROR(IF(AND($B407&lt;&gt;"",$B407&lt;&gt;"Exterior",COUNTIF($B$6:B407,$B407)=1,COUNTIF($R$6:$R$12,$B407)=0),$B407,""),"")</f>
      </c>
      <c r="Q407">
        <f>IFERROR(IF(AND($C407&lt;&gt;"",$C407&lt;&gt;"Exterior",COUNTIF($C$6:C407,$C407)=1,COUNTIF($R$6:$R$12,$C407)=0,COUNTIF($B$6:$B$505,$C407)=0),$C407,""),"")</f>
      </c>
      <c r="X407">
        <f>IFERROR(ROUND(MAX(0,SUMIFS($D$6:$D407,$C$6:$C407,$B407,$A$6:$A407,"&lt;="&amp;$A407)*MAX(0,IFERROR(1+VLOOKUP($B407,$F$6:$I$19,4,FALSE),IFERROR(1+INDEX($U$6:$U$505,MATCH($B407,$S$6:$S$505,0)),1)))-(SUMIFS($D$6:$D407,$B$6:$B407,$B407,$A$6:$A407,"&lt;="&amp;$A407)-$D407)),2),0)</f>
      </c>
    </row>
    <row r="408" spans="1:24" x14ac:dyDescent="0.25">
      <c r="A408" s="9">
        <v>46317</v>
      </c>
      <c r="B408" s="10"/>
      <c r="C408" s="10"/>
      <c r="D408" s="11"/>
      <c r="P408">
        <f>IFERROR(IF(AND($B408&lt;&gt;"",$B408&lt;&gt;"Exterior",COUNTIF($B$6:B408,$B408)=1,COUNTIF($R$6:$R$12,$B408)=0),$B408,""),"")</f>
      </c>
      <c r="Q408">
        <f>IFERROR(IF(AND($C408&lt;&gt;"",$C408&lt;&gt;"Exterior",COUNTIF($C$6:C408,$C408)=1,COUNTIF($R$6:$R$12,$C408)=0,COUNTIF($B$6:$B$505,$C408)=0),$C408,""),"")</f>
      </c>
      <c r="X408">
        <f>IFERROR(ROUND(MAX(0,SUMIFS($D$6:$D408,$C$6:$C408,$B408,$A$6:$A408,"&lt;="&amp;$A408)*MAX(0,IFERROR(1+VLOOKUP($B408,$F$6:$I$19,4,FALSE),IFERROR(1+INDEX($U$6:$U$505,MATCH($B408,$S$6:$S$505,0)),1)))-(SUMIFS($D$6:$D408,$B$6:$B408,$B408,$A$6:$A408,"&lt;="&amp;$A408)-$D408)),2),0)</f>
      </c>
    </row>
    <row r="409" spans="1:24" x14ac:dyDescent="0.25">
      <c r="A409" s="9">
        <v>46317</v>
      </c>
      <c r="B409" s="10"/>
      <c r="C409" s="10"/>
      <c r="D409" s="11"/>
      <c r="P409">
        <f>IFERROR(IF(AND($B409&lt;&gt;"",$B409&lt;&gt;"Exterior",COUNTIF($B$6:B409,$B409)=1,COUNTIF($R$6:$R$12,$B409)=0),$B409,""),"")</f>
      </c>
      <c r="Q409">
        <f>IFERROR(IF(AND($C409&lt;&gt;"",$C409&lt;&gt;"Exterior",COUNTIF($C$6:C409,$C409)=1,COUNTIF($R$6:$R$12,$C409)=0,COUNTIF($B$6:$B$505,$C409)=0),$C409,""),"")</f>
      </c>
      <c r="X409">
        <f>IFERROR(ROUND(MAX(0,SUMIFS($D$6:$D409,$C$6:$C409,$B409,$A$6:$A409,"&lt;="&amp;$A409)*MAX(0,IFERROR(1+VLOOKUP($B409,$F$6:$I$19,4,FALSE),IFERROR(1+INDEX($U$6:$U$505,MATCH($B409,$S$6:$S$505,0)),1)))-(SUMIFS($D$6:$D409,$B$6:$B409,$B409,$A$6:$A409,"&lt;="&amp;$A409)-$D409)),2),0)</f>
      </c>
    </row>
    <row r="410" spans="1:24" x14ac:dyDescent="0.25">
      <c r="A410" s="9">
        <v>46317</v>
      </c>
      <c r="B410" s="10"/>
      <c r="C410" s="10"/>
      <c r="D410" s="11"/>
      <c r="P410">
        <f>IFERROR(IF(AND($B410&lt;&gt;"",$B410&lt;&gt;"Exterior",COUNTIF($B$6:B410,$B410)=1,COUNTIF($R$6:$R$12,$B410)=0),$B410,""),"")</f>
      </c>
      <c r="Q410">
        <f>IFERROR(IF(AND($C410&lt;&gt;"",$C410&lt;&gt;"Exterior",COUNTIF($C$6:C410,$C410)=1,COUNTIF($R$6:$R$12,$C410)=0,COUNTIF($B$6:$B$505,$C410)=0),$C410,""),"")</f>
      </c>
      <c r="X410">
        <f>IFERROR(ROUND(MAX(0,SUMIFS($D$6:$D410,$C$6:$C410,$B410,$A$6:$A410,"&lt;="&amp;$A410)*MAX(0,IFERROR(1+VLOOKUP($B410,$F$6:$I$19,4,FALSE),IFERROR(1+INDEX($U$6:$U$505,MATCH($B410,$S$6:$S$505,0)),1)))-(SUMIFS($D$6:$D410,$B$6:$B410,$B410,$A$6:$A410,"&lt;="&amp;$A410)-$D410)),2),0)</f>
      </c>
    </row>
    <row r="411" spans="1:24" x14ac:dyDescent="0.25">
      <c r="A411" s="9">
        <v>46317</v>
      </c>
      <c r="B411" s="10"/>
      <c r="C411" s="10"/>
      <c r="D411" s="11"/>
      <c r="P411">
        <f>IFERROR(IF(AND($B411&lt;&gt;"",$B411&lt;&gt;"Exterior",COUNTIF($B$6:B411,$B411)=1,COUNTIF($R$6:$R$12,$B411)=0),$B411,""),"")</f>
      </c>
      <c r="Q411">
        <f>IFERROR(IF(AND($C411&lt;&gt;"",$C411&lt;&gt;"Exterior",COUNTIF($C$6:C411,$C411)=1,COUNTIF($R$6:$R$12,$C411)=0,COUNTIF($B$6:$B$505,$C411)=0),$C411,""),"")</f>
      </c>
      <c r="X411">
        <f>IFERROR(ROUND(MAX(0,SUMIFS($D$6:$D411,$C$6:$C411,$B411,$A$6:$A411,"&lt;="&amp;$A411)*MAX(0,IFERROR(1+VLOOKUP($B411,$F$6:$I$19,4,FALSE),IFERROR(1+INDEX($U$6:$U$505,MATCH($B411,$S$6:$S$505,0)),1)))-(SUMIFS($D$6:$D411,$B$6:$B411,$B411,$A$6:$A411,"&lt;="&amp;$A411)-$D411)),2),0)</f>
      </c>
    </row>
    <row r="412" spans="1:24" x14ac:dyDescent="0.25">
      <c r="A412" s="9">
        <v>46317</v>
      </c>
      <c r="B412" s="10"/>
      <c r="C412" s="10"/>
      <c r="D412" s="11"/>
      <c r="P412">
        <f>IFERROR(IF(AND($B412&lt;&gt;"",$B412&lt;&gt;"Exterior",COUNTIF($B$6:B412,$B412)=1,COUNTIF($R$6:$R$12,$B412)=0),$B412,""),"")</f>
      </c>
      <c r="Q412">
        <f>IFERROR(IF(AND($C412&lt;&gt;"",$C412&lt;&gt;"Exterior",COUNTIF($C$6:C412,$C412)=1,COUNTIF($R$6:$R$12,$C412)=0,COUNTIF($B$6:$B$505,$C412)=0),$C412,""),"")</f>
      </c>
      <c r="X412">
        <f>IFERROR(ROUND(MAX(0,SUMIFS($D$6:$D412,$C$6:$C412,$B412,$A$6:$A412,"&lt;="&amp;$A412)*MAX(0,IFERROR(1+VLOOKUP($B412,$F$6:$I$19,4,FALSE),IFERROR(1+INDEX($U$6:$U$505,MATCH($B412,$S$6:$S$505,0)),1)))-(SUMIFS($D$6:$D412,$B$6:$B412,$B412,$A$6:$A412,"&lt;="&amp;$A412)-$D412)),2),0)</f>
      </c>
    </row>
    <row r="413" spans="1:24" x14ac:dyDescent="0.25">
      <c r="A413" s="9">
        <v>46317</v>
      </c>
      <c r="B413" s="10"/>
      <c r="C413" s="10"/>
      <c r="D413" s="11"/>
      <c r="P413">
        <f>IFERROR(IF(AND($B413&lt;&gt;"",$B413&lt;&gt;"Exterior",COUNTIF($B$6:B413,$B413)=1,COUNTIF($R$6:$R$12,$B413)=0),$B413,""),"")</f>
      </c>
      <c r="Q413">
        <f>IFERROR(IF(AND($C413&lt;&gt;"",$C413&lt;&gt;"Exterior",COUNTIF($C$6:C413,$C413)=1,COUNTIF($R$6:$R$12,$C413)=0,COUNTIF($B$6:$B$505,$C413)=0),$C413,""),"")</f>
      </c>
      <c r="X413">
        <f>IFERROR(ROUND(MAX(0,SUMIFS($D$6:$D413,$C$6:$C413,$B413,$A$6:$A413,"&lt;="&amp;$A413)*MAX(0,IFERROR(1+VLOOKUP($B413,$F$6:$I$19,4,FALSE),IFERROR(1+INDEX($U$6:$U$505,MATCH($B413,$S$6:$S$505,0)),1)))-(SUMIFS($D$6:$D413,$B$6:$B413,$B413,$A$6:$A413,"&lt;="&amp;$A413)-$D413)),2),0)</f>
      </c>
    </row>
    <row r="414" spans="1:24" x14ac:dyDescent="0.25">
      <c r="A414" s="9">
        <v>46317</v>
      </c>
      <c r="B414" s="10"/>
      <c r="C414" s="10"/>
      <c r="D414" s="11"/>
      <c r="P414">
        <f>IFERROR(IF(AND($B414&lt;&gt;"",$B414&lt;&gt;"Exterior",COUNTIF($B$6:B414,$B414)=1,COUNTIF($R$6:$R$12,$B414)=0),$B414,""),"")</f>
      </c>
      <c r="Q414">
        <f>IFERROR(IF(AND($C414&lt;&gt;"",$C414&lt;&gt;"Exterior",COUNTIF($C$6:C414,$C414)=1,COUNTIF($R$6:$R$12,$C414)=0,COUNTIF($B$6:$B$505,$C414)=0),$C414,""),"")</f>
      </c>
      <c r="X414">
        <f>IFERROR(ROUND(MAX(0,SUMIFS($D$6:$D414,$C$6:$C414,$B414,$A$6:$A414,"&lt;="&amp;$A414)*MAX(0,IFERROR(1+VLOOKUP($B414,$F$6:$I$19,4,FALSE),IFERROR(1+INDEX($U$6:$U$505,MATCH($B414,$S$6:$S$505,0)),1)))-(SUMIFS($D$6:$D414,$B$6:$B414,$B414,$A$6:$A414,"&lt;="&amp;$A414)-$D414)),2),0)</f>
      </c>
    </row>
    <row r="415" spans="1:24" x14ac:dyDescent="0.25">
      <c r="A415" s="9">
        <v>46317</v>
      </c>
      <c r="B415" s="10"/>
      <c r="C415" s="10"/>
      <c r="D415" s="11"/>
      <c r="P415">
        <f>IFERROR(IF(AND($B415&lt;&gt;"",$B415&lt;&gt;"Exterior",COUNTIF($B$6:B415,$B415)=1,COUNTIF($R$6:$R$12,$B415)=0),$B415,""),"")</f>
      </c>
      <c r="Q415">
        <f>IFERROR(IF(AND($C415&lt;&gt;"",$C415&lt;&gt;"Exterior",COUNTIF($C$6:C415,$C415)=1,COUNTIF($R$6:$R$12,$C415)=0,COUNTIF($B$6:$B$505,$C415)=0),$C415,""),"")</f>
      </c>
      <c r="X415">
        <f>IFERROR(ROUND(MAX(0,SUMIFS($D$6:$D415,$C$6:$C415,$B415,$A$6:$A415,"&lt;="&amp;$A415)*MAX(0,IFERROR(1+VLOOKUP($B415,$F$6:$I$19,4,FALSE),IFERROR(1+INDEX($U$6:$U$505,MATCH($B415,$S$6:$S$505,0)),1)))-(SUMIFS($D$6:$D415,$B$6:$B415,$B415,$A$6:$A415,"&lt;="&amp;$A415)-$D415)),2),0)</f>
      </c>
    </row>
    <row r="416" spans="1:24" x14ac:dyDescent="0.25">
      <c r="A416" s="9">
        <v>46317</v>
      </c>
      <c r="B416" s="10"/>
      <c r="C416" s="10"/>
      <c r="D416" s="11"/>
      <c r="P416">
        <f>IFERROR(IF(AND($B416&lt;&gt;"",$B416&lt;&gt;"Exterior",COUNTIF($B$6:B416,$B416)=1,COUNTIF($R$6:$R$12,$B416)=0),$B416,""),"")</f>
      </c>
      <c r="Q416">
        <f>IFERROR(IF(AND($C416&lt;&gt;"",$C416&lt;&gt;"Exterior",COUNTIF($C$6:C416,$C416)=1,COUNTIF($R$6:$R$12,$C416)=0,COUNTIF($B$6:$B$505,$C416)=0),$C416,""),"")</f>
      </c>
      <c r="X416">
        <f>IFERROR(ROUND(MAX(0,SUMIFS($D$6:$D416,$C$6:$C416,$B416,$A$6:$A416,"&lt;="&amp;$A416)*MAX(0,IFERROR(1+VLOOKUP($B416,$F$6:$I$19,4,FALSE),IFERROR(1+INDEX($U$6:$U$505,MATCH($B416,$S$6:$S$505,0)),1)))-(SUMIFS($D$6:$D416,$B$6:$B416,$B416,$A$6:$A416,"&lt;="&amp;$A416)-$D416)),2),0)</f>
      </c>
    </row>
    <row r="417" spans="1:24" x14ac:dyDescent="0.25">
      <c r="A417" s="9">
        <v>46317</v>
      </c>
      <c r="B417" s="10"/>
      <c r="C417" s="10"/>
      <c r="D417" s="11"/>
      <c r="P417">
        <f>IFERROR(IF(AND($B417&lt;&gt;"",$B417&lt;&gt;"Exterior",COUNTIF($B$6:B417,$B417)=1,COUNTIF($R$6:$R$12,$B417)=0),$B417,""),"")</f>
      </c>
      <c r="Q417">
        <f>IFERROR(IF(AND($C417&lt;&gt;"",$C417&lt;&gt;"Exterior",COUNTIF($C$6:C417,$C417)=1,COUNTIF($R$6:$R$12,$C417)=0,COUNTIF($B$6:$B$505,$C417)=0),$C417,""),"")</f>
      </c>
      <c r="X417">
        <f>IFERROR(ROUND(MAX(0,SUMIFS($D$6:$D417,$C$6:$C417,$B417,$A$6:$A417,"&lt;="&amp;$A417)*MAX(0,IFERROR(1+VLOOKUP($B417,$F$6:$I$19,4,FALSE),IFERROR(1+INDEX($U$6:$U$505,MATCH($B417,$S$6:$S$505,0)),1)))-(SUMIFS($D$6:$D417,$B$6:$B417,$B417,$A$6:$A417,"&lt;="&amp;$A417)-$D417)),2),0)</f>
      </c>
    </row>
    <row r="418" spans="1:24" x14ac:dyDescent="0.25">
      <c r="A418" s="9">
        <v>46317</v>
      </c>
      <c r="B418" s="10"/>
      <c r="C418" s="10"/>
      <c r="D418" s="11"/>
      <c r="P418">
        <f>IFERROR(IF(AND($B418&lt;&gt;"",$B418&lt;&gt;"Exterior",COUNTIF($B$6:B418,$B418)=1,COUNTIF($R$6:$R$12,$B418)=0),$B418,""),"")</f>
      </c>
      <c r="Q418">
        <f>IFERROR(IF(AND($C418&lt;&gt;"",$C418&lt;&gt;"Exterior",COUNTIF($C$6:C418,$C418)=1,COUNTIF($R$6:$R$12,$C418)=0,COUNTIF($B$6:$B$505,$C418)=0),$C418,""),"")</f>
      </c>
      <c r="X418">
        <f>IFERROR(ROUND(MAX(0,SUMIFS($D$6:$D418,$C$6:$C418,$B418,$A$6:$A418,"&lt;="&amp;$A418)*MAX(0,IFERROR(1+VLOOKUP($B418,$F$6:$I$19,4,FALSE),IFERROR(1+INDEX($U$6:$U$505,MATCH($B418,$S$6:$S$505,0)),1)))-(SUMIFS($D$6:$D418,$B$6:$B418,$B418,$A$6:$A418,"&lt;="&amp;$A418)-$D418)),2),0)</f>
      </c>
    </row>
    <row r="419" spans="1:24" x14ac:dyDescent="0.25">
      <c r="A419" s="9">
        <v>46317</v>
      </c>
      <c r="B419" s="10"/>
      <c r="C419" s="10"/>
      <c r="D419" s="11"/>
      <c r="P419">
        <f>IFERROR(IF(AND($B419&lt;&gt;"",$B419&lt;&gt;"Exterior",COUNTIF($B$6:B419,$B419)=1,COUNTIF($R$6:$R$12,$B419)=0),$B419,""),"")</f>
      </c>
      <c r="Q419">
        <f>IFERROR(IF(AND($C419&lt;&gt;"",$C419&lt;&gt;"Exterior",COUNTIF($C$6:C419,$C419)=1,COUNTIF($R$6:$R$12,$C419)=0,COUNTIF($B$6:$B$505,$C419)=0),$C419,""),"")</f>
      </c>
      <c r="X419">
        <f>IFERROR(ROUND(MAX(0,SUMIFS($D$6:$D419,$C$6:$C419,$B419,$A$6:$A419,"&lt;="&amp;$A419)*MAX(0,IFERROR(1+VLOOKUP($B419,$F$6:$I$19,4,FALSE),IFERROR(1+INDEX($U$6:$U$505,MATCH($B419,$S$6:$S$505,0)),1)))-(SUMIFS($D$6:$D419,$B$6:$B419,$B419,$A$6:$A419,"&lt;="&amp;$A419)-$D419)),2),0)</f>
      </c>
    </row>
    <row r="420" spans="1:24" x14ac:dyDescent="0.25">
      <c r="A420" s="9">
        <v>46317</v>
      </c>
      <c r="B420" s="10"/>
      <c r="C420" s="10"/>
      <c r="D420" s="11"/>
      <c r="P420">
        <f>IFERROR(IF(AND($B420&lt;&gt;"",$B420&lt;&gt;"Exterior",COUNTIF($B$6:B420,$B420)=1,COUNTIF($R$6:$R$12,$B420)=0),$B420,""),"")</f>
      </c>
      <c r="Q420">
        <f>IFERROR(IF(AND($C420&lt;&gt;"",$C420&lt;&gt;"Exterior",COUNTIF($C$6:C420,$C420)=1,COUNTIF($R$6:$R$12,$C420)=0,COUNTIF($B$6:$B$505,$C420)=0),$C420,""),"")</f>
      </c>
      <c r="X420">
        <f>IFERROR(ROUND(MAX(0,SUMIFS($D$6:$D420,$C$6:$C420,$B420,$A$6:$A420,"&lt;="&amp;$A420)*MAX(0,IFERROR(1+VLOOKUP($B420,$F$6:$I$19,4,FALSE),IFERROR(1+INDEX($U$6:$U$505,MATCH($B420,$S$6:$S$505,0)),1)))-(SUMIFS($D$6:$D420,$B$6:$B420,$B420,$A$6:$A420,"&lt;="&amp;$A420)-$D420)),2),0)</f>
      </c>
    </row>
    <row r="421" spans="1:24" x14ac:dyDescent="0.25">
      <c r="A421" s="9">
        <v>46317</v>
      </c>
      <c r="B421" s="10"/>
      <c r="C421" s="10"/>
      <c r="D421" s="11"/>
      <c r="P421">
        <f>IFERROR(IF(AND($B421&lt;&gt;"",$B421&lt;&gt;"Exterior",COUNTIF($B$6:B421,$B421)=1,COUNTIF($R$6:$R$12,$B421)=0),$B421,""),"")</f>
      </c>
      <c r="Q421">
        <f>IFERROR(IF(AND($C421&lt;&gt;"",$C421&lt;&gt;"Exterior",COUNTIF($C$6:C421,$C421)=1,COUNTIF($R$6:$R$12,$C421)=0,COUNTIF($B$6:$B$505,$C421)=0),$C421,""),"")</f>
      </c>
      <c r="X421">
        <f>IFERROR(ROUND(MAX(0,SUMIFS($D$6:$D421,$C$6:$C421,$B421,$A$6:$A421,"&lt;="&amp;$A421)*MAX(0,IFERROR(1+VLOOKUP($B421,$F$6:$I$19,4,FALSE),IFERROR(1+INDEX($U$6:$U$505,MATCH($B421,$S$6:$S$505,0)),1)))-(SUMIFS($D$6:$D421,$B$6:$B421,$B421,$A$6:$A421,"&lt;="&amp;$A421)-$D421)),2),0)</f>
      </c>
    </row>
    <row r="422" spans="1:24" x14ac:dyDescent="0.25">
      <c r="A422" s="9">
        <v>46317</v>
      </c>
      <c r="B422" s="10"/>
      <c r="C422" s="10"/>
      <c r="D422" s="11"/>
      <c r="P422">
        <f>IFERROR(IF(AND($B422&lt;&gt;"",$B422&lt;&gt;"Exterior",COUNTIF($B$6:B422,$B422)=1,COUNTIF($R$6:$R$12,$B422)=0),$B422,""),"")</f>
      </c>
      <c r="Q422">
        <f>IFERROR(IF(AND($C422&lt;&gt;"",$C422&lt;&gt;"Exterior",COUNTIF($C$6:C422,$C422)=1,COUNTIF($R$6:$R$12,$C422)=0,COUNTIF($B$6:$B$505,$C422)=0),$C422,""),"")</f>
      </c>
      <c r="X422">
        <f>IFERROR(ROUND(MAX(0,SUMIFS($D$6:$D422,$C$6:$C422,$B422,$A$6:$A422,"&lt;="&amp;$A422)*MAX(0,IFERROR(1+VLOOKUP($B422,$F$6:$I$19,4,FALSE),IFERROR(1+INDEX($U$6:$U$505,MATCH($B422,$S$6:$S$505,0)),1)))-(SUMIFS($D$6:$D422,$B$6:$B422,$B422,$A$6:$A422,"&lt;="&amp;$A422)-$D422)),2),0)</f>
      </c>
    </row>
    <row r="423" spans="1:24" x14ac:dyDescent="0.25">
      <c r="A423" s="9">
        <v>46317</v>
      </c>
      <c r="B423" s="10"/>
      <c r="C423" s="10"/>
      <c r="D423" s="11"/>
      <c r="P423">
        <f>IFERROR(IF(AND($B423&lt;&gt;"",$B423&lt;&gt;"Exterior",COUNTIF($B$6:B423,$B423)=1,COUNTIF($R$6:$R$12,$B423)=0),$B423,""),"")</f>
      </c>
      <c r="Q423">
        <f>IFERROR(IF(AND($C423&lt;&gt;"",$C423&lt;&gt;"Exterior",COUNTIF($C$6:C423,$C423)=1,COUNTIF($R$6:$R$12,$C423)=0,COUNTIF($B$6:$B$505,$C423)=0),$C423,""),"")</f>
      </c>
      <c r="X423">
        <f>IFERROR(ROUND(MAX(0,SUMIFS($D$6:$D423,$C$6:$C423,$B423,$A$6:$A423,"&lt;="&amp;$A423)*MAX(0,IFERROR(1+VLOOKUP($B423,$F$6:$I$19,4,FALSE),IFERROR(1+INDEX($U$6:$U$505,MATCH($B423,$S$6:$S$505,0)),1)))-(SUMIFS($D$6:$D423,$B$6:$B423,$B423,$A$6:$A423,"&lt;="&amp;$A423)-$D423)),2),0)</f>
      </c>
    </row>
    <row r="424" spans="1:24" x14ac:dyDescent="0.25">
      <c r="A424" s="9">
        <v>46317</v>
      </c>
      <c r="B424" s="10"/>
      <c r="C424" s="10"/>
      <c r="D424" s="11"/>
      <c r="P424">
        <f>IFERROR(IF(AND($B424&lt;&gt;"",$B424&lt;&gt;"Exterior",COUNTIF($B$6:B424,$B424)=1,COUNTIF($R$6:$R$12,$B424)=0),$B424,""),"")</f>
      </c>
      <c r="Q424">
        <f>IFERROR(IF(AND($C424&lt;&gt;"",$C424&lt;&gt;"Exterior",COUNTIF($C$6:C424,$C424)=1,COUNTIF($R$6:$R$12,$C424)=0,COUNTIF($B$6:$B$505,$C424)=0),$C424,""),"")</f>
      </c>
      <c r="X424">
        <f>IFERROR(ROUND(MAX(0,SUMIFS($D$6:$D424,$C$6:$C424,$B424,$A$6:$A424,"&lt;="&amp;$A424)*MAX(0,IFERROR(1+VLOOKUP($B424,$F$6:$I$19,4,FALSE),IFERROR(1+INDEX($U$6:$U$505,MATCH($B424,$S$6:$S$505,0)),1)))-(SUMIFS($D$6:$D424,$B$6:$B424,$B424,$A$6:$A424,"&lt;="&amp;$A424)-$D424)),2),0)</f>
      </c>
    </row>
    <row r="425" spans="1:24" x14ac:dyDescent="0.25">
      <c r="A425" s="9">
        <v>46317</v>
      </c>
      <c r="B425" s="10"/>
      <c r="C425" s="10"/>
      <c r="D425" s="11"/>
      <c r="P425">
        <f>IFERROR(IF(AND($B425&lt;&gt;"",$B425&lt;&gt;"Exterior",COUNTIF($B$6:B425,$B425)=1,COUNTIF($R$6:$R$12,$B425)=0),$B425,""),"")</f>
      </c>
      <c r="Q425">
        <f>IFERROR(IF(AND($C425&lt;&gt;"",$C425&lt;&gt;"Exterior",COUNTIF($C$6:C425,$C425)=1,COUNTIF($R$6:$R$12,$C425)=0,COUNTIF($B$6:$B$505,$C425)=0),$C425,""),"")</f>
      </c>
      <c r="X425">
        <f>IFERROR(ROUND(MAX(0,SUMIFS($D$6:$D425,$C$6:$C425,$B425,$A$6:$A425,"&lt;="&amp;$A425)*MAX(0,IFERROR(1+VLOOKUP($B425,$F$6:$I$19,4,FALSE),IFERROR(1+INDEX($U$6:$U$505,MATCH($B425,$S$6:$S$505,0)),1)))-(SUMIFS($D$6:$D425,$B$6:$B425,$B425,$A$6:$A425,"&lt;="&amp;$A425)-$D425)),2),0)</f>
      </c>
    </row>
    <row r="426" spans="1:24" x14ac:dyDescent="0.25">
      <c r="A426" s="9">
        <v>46317</v>
      </c>
      <c r="B426" s="10"/>
      <c r="C426" s="10"/>
      <c r="D426" s="11"/>
      <c r="P426">
        <f>IFERROR(IF(AND($B426&lt;&gt;"",$B426&lt;&gt;"Exterior",COUNTIF($B$6:B426,$B426)=1,COUNTIF($R$6:$R$12,$B426)=0),$B426,""),"")</f>
      </c>
      <c r="Q426">
        <f>IFERROR(IF(AND($C426&lt;&gt;"",$C426&lt;&gt;"Exterior",COUNTIF($C$6:C426,$C426)=1,COUNTIF($R$6:$R$12,$C426)=0,COUNTIF($B$6:$B$505,$C426)=0),$C426,""),"")</f>
      </c>
      <c r="X426">
        <f>IFERROR(ROUND(MAX(0,SUMIFS($D$6:$D426,$C$6:$C426,$B426,$A$6:$A426,"&lt;="&amp;$A426)*MAX(0,IFERROR(1+VLOOKUP($B426,$F$6:$I$19,4,FALSE),IFERROR(1+INDEX($U$6:$U$505,MATCH($B426,$S$6:$S$505,0)),1)))-(SUMIFS($D$6:$D426,$B$6:$B426,$B426,$A$6:$A426,"&lt;="&amp;$A426)-$D426)),2),0)</f>
      </c>
    </row>
    <row r="427" spans="1:24" x14ac:dyDescent="0.25">
      <c r="A427" s="9">
        <v>46317</v>
      </c>
      <c r="B427" s="10"/>
      <c r="C427" s="10"/>
      <c r="D427" s="11"/>
      <c r="P427">
        <f>IFERROR(IF(AND($B427&lt;&gt;"",$B427&lt;&gt;"Exterior",COUNTIF($B$6:B427,$B427)=1,COUNTIF($R$6:$R$12,$B427)=0),$B427,""),"")</f>
      </c>
      <c r="Q427">
        <f>IFERROR(IF(AND($C427&lt;&gt;"",$C427&lt;&gt;"Exterior",COUNTIF($C$6:C427,$C427)=1,COUNTIF($R$6:$R$12,$C427)=0,COUNTIF($B$6:$B$505,$C427)=0),$C427,""),"")</f>
      </c>
      <c r="X427">
        <f>IFERROR(ROUND(MAX(0,SUMIFS($D$6:$D427,$C$6:$C427,$B427,$A$6:$A427,"&lt;="&amp;$A427)*MAX(0,IFERROR(1+VLOOKUP($B427,$F$6:$I$19,4,FALSE),IFERROR(1+INDEX($U$6:$U$505,MATCH($B427,$S$6:$S$505,0)),1)))-(SUMIFS($D$6:$D427,$B$6:$B427,$B427,$A$6:$A427,"&lt;="&amp;$A427)-$D427)),2),0)</f>
      </c>
    </row>
    <row r="428" spans="1:24" x14ac:dyDescent="0.25">
      <c r="A428" s="9">
        <v>46317</v>
      </c>
      <c r="B428" s="10"/>
      <c r="C428" s="10"/>
      <c r="D428" s="11"/>
      <c r="P428">
        <f>IFERROR(IF(AND($B428&lt;&gt;"",$B428&lt;&gt;"Exterior",COUNTIF($B$6:B428,$B428)=1,COUNTIF($R$6:$R$12,$B428)=0),$B428,""),"")</f>
      </c>
      <c r="Q428">
        <f>IFERROR(IF(AND($C428&lt;&gt;"",$C428&lt;&gt;"Exterior",COUNTIF($C$6:C428,$C428)=1,COUNTIF($R$6:$R$12,$C428)=0,COUNTIF($B$6:$B$505,$C428)=0),$C428,""),"")</f>
      </c>
      <c r="X428">
        <f>IFERROR(ROUND(MAX(0,SUMIFS($D$6:$D428,$C$6:$C428,$B428,$A$6:$A428,"&lt;="&amp;$A428)*MAX(0,IFERROR(1+VLOOKUP($B428,$F$6:$I$19,4,FALSE),IFERROR(1+INDEX($U$6:$U$505,MATCH($B428,$S$6:$S$505,0)),1)))-(SUMIFS($D$6:$D428,$B$6:$B428,$B428,$A$6:$A428,"&lt;="&amp;$A428)-$D428)),2),0)</f>
      </c>
    </row>
    <row r="429" spans="1:24" x14ac:dyDescent="0.25">
      <c r="A429" s="9">
        <v>46317</v>
      </c>
      <c r="B429" s="10"/>
      <c r="C429" s="10"/>
      <c r="D429" s="11"/>
      <c r="P429">
        <f>IFERROR(IF(AND($B429&lt;&gt;"",$B429&lt;&gt;"Exterior",COUNTIF($B$6:B429,$B429)=1,COUNTIF($R$6:$R$12,$B429)=0),$B429,""),"")</f>
      </c>
      <c r="Q429">
        <f>IFERROR(IF(AND($C429&lt;&gt;"",$C429&lt;&gt;"Exterior",COUNTIF($C$6:C429,$C429)=1,COUNTIF($R$6:$R$12,$C429)=0,COUNTIF($B$6:$B$505,$C429)=0),$C429,""),"")</f>
      </c>
      <c r="X429">
        <f>IFERROR(ROUND(MAX(0,SUMIFS($D$6:$D429,$C$6:$C429,$B429,$A$6:$A429,"&lt;="&amp;$A429)*MAX(0,IFERROR(1+VLOOKUP($B429,$F$6:$I$19,4,FALSE),IFERROR(1+INDEX($U$6:$U$505,MATCH($B429,$S$6:$S$505,0)),1)))-(SUMIFS($D$6:$D429,$B$6:$B429,$B429,$A$6:$A429,"&lt;="&amp;$A429)-$D429)),2),0)</f>
      </c>
    </row>
    <row r="430" spans="1:24" x14ac:dyDescent="0.25">
      <c r="A430" s="9">
        <v>46317</v>
      </c>
      <c r="B430" s="10"/>
      <c r="C430" s="10"/>
      <c r="D430" s="11"/>
      <c r="P430">
        <f>IFERROR(IF(AND($B430&lt;&gt;"",$B430&lt;&gt;"Exterior",COUNTIF($B$6:B430,$B430)=1,COUNTIF($R$6:$R$12,$B430)=0),$B430,""),"")</f>
      </c>
      <c r="Q430">
        <f>IFERROR(IF(AND($C430&lt;&gt;"",$C430&lt;&gt;"Exterior",COUNTIF($C$6:C430,$C430)=1,COUNTIF($R$6:$R$12,$C430)=0,COUNTIF($B$6:$B$505,$C430)=0),$C430,""),"")</f>
      </c>
      <c r="X430">
        <f>IFERROR(ROUND(MAX(0,SUMIFS($D$6:$D430,$C$6:$C430,$B430,$A$6:$A430,"&lt;="&amp;$A430)*MAX(0,IFERROR(1+VLOOKUP($B430,$F$6:$I$19,4,FALSE),IFERROR(1+INDEX($U$6:$U$505,MATCH($B430,$S$6:$S$505,0)),1)))-(SUMIFS($D$6:$D430,$B$6:$B430,$B430,$A$6:$A430,"&lt;="&amp;$A430)-$D430)),2),0)</f>
      </c>
    </row>
    <row r="431" spans="1:24" x14ac:dyDescent="0.25">
      <c r="A431" s="9">
        <v>46317</v>
      </c>
      <c r="B431" s="10"/>
      <c r="C431" s="10"/>
      <c r="D431" s="11"/>
      <c r="P431">
        <f>IFERROR(IF(AND($B431&lt;&gt;"",$B431&lt;&gt;"Exterior",COUNTIF($B$6:B431,$B431)=1,COUNTIF($R$6:$R$12,$B431)=0),$B431,""),"")</f>
      </c>
      <c r="Q431">
        <f>IFERROR(IF(AND($C431&lt;&gt;"",$C431&lt;&gt;"Exterior",COUNTIF($C$6:C431,$C431)=1,COUNTIF($R$6:$R$12,$C431)=0,COUNTIF($B$6:$B$505,$C431)=0),$C431,""),"")</f>
      </c>
      <c r="X431">
        <f>IFERROR(ROUND(MAX(0,SUMIFS($D$6:$D431,$C$6:$C431,$B431,$A$6:$A431,"&lt;="&amp;$A431)*MAX(0,IFERROR(1+VLOOKUP($B431,$F$6:$I$19,4,FALSE),IFERROR(1+INDEX($U$6:$U$505,MATCH($B431,$S$6:$S$505,0)),1)))-(SUMIFS($D$6:$D431,$B$6:$B431,$B431,$A$6:$A431,"&lt;="&amp;$A431)-$D431)),2),0)</f>
      </c>
    </row>
    <row r="432" spans="1:24" x14ac:dyDescent="0.25">
      <c r="A432" s="9">
        <v>46317</v>
      </c>
      <c r="B432" s="10"/>
      <c r="C432" s="10"/>
      <c r="D432" s="11"/>
      <c r="P432">
        <f>IFERROR(IF(AND($B432&lt;&gt;"",$B432&lt;&gt;"Exterior",COUNTIF($B$6:B432,$B432)=1,COUNTIF($R$6:$R$12,$B432)=0),$B432,""),"")</f>
      </c>
      <c r="Q432">
        <f>IFERROR(IF(AND($C432&lt;&gt;"",$C432&lt;&gt;"Exterior",COUNTIF($C$6:C432,$C432)=1,COUNTIF($R$6:$R$12,$C432)=0,COUNTIF($B$6:$B$505,$C432)=0),$C432,""),"")</f>
      </c>
      <c r="X432">
        <f>IFERROR(ROUND(MAX(0,SUMIFS($D$6:$D432,$C$6:$C432,$B432,$A$6:$A432,"&lt;="&amp;$A432)*MAX(0,IFERROR(1+VLOOKUP($B432,$F$6:$I$19,4,FALSE),IFERROR(1+INDEX($U$6:$U$505,MATCH($B432,$S$6:$S$505,0)),1)))-(SUMIFS($D$6:$D432,$B$6:$B432,$B432,$A$6:$A432,"&lt;="&amp;$A432)-$D432)),2),0)</f>
      </c>
    </row>
    <row r="433" spans="1:24" x14ac:dyDescent="0.25">
      <c r="A433" s="9">
        <v>46317</v>
      </c>
      <c r="B433" s="10"/>
      <c r="C433" s="10"/>
      <c r="D433" s="11"/>
      <c r="P433">
        <f>IFERROR(IF(AND($B433&lt;&gt;"",$B433&lt;&gt;"Exterior",COUNTIF($B$6:B433,$B433)=1,COUNTIF($R$6:$R$12,$B433)=0),$B433,""),"")</f>
      </c>
      <c r="Q433">
        <f>IFERROR(IF(AND($C433&lt;&gt;"",$C433&lt;&gt;"Exterior",COUNTIF($C$6:C433,$C433)=1,COUNTIF($R$6:$R$12,$C433)=0,COUNTIF($B$6:$B$505,$C433)=0),$C433,""),"")</f>
      </c>
      <c r="X433">
        <f>IFERROR(ROUND(MAX(0,SUMIFS($D$6:$D433,$C$6:$C433,$B433,$A$6:$A433,"&lt;="&amp;$A433)*MAX(0,IFERROR(1+VLOOKUP($B433,$F$6:$I$19,4,FALSE),IFERROR(1+INDEX($U$6:$U$505,MATCH($B433,$S$6:$S$505,0)),1)))-(SUMIFS($D$6:$D433,$B$6:$B433,$B433,$A$6:$A433,"&lt;="&amp;$A433)-$D433)),2),0)</f>
      </c>
    </row>
    <row r="434" spans="1:24" x14ac:dyDescent="0.25">
      <c r="A434" s="9">
        <v>46317</v>
      </c>
      <c r="B434" s="10"/>
      <c r="C434" s="10"/>
      <c r="D434" s="11"/>
      <c r="P434">
        <f>IFERROR(IF(AND($B434&lt;&gt;"",$B434&lt;&gt;"Exterior",COUNTIF($B$6:B434,$B434)=1,COUNTIF($R$6:$R$12,$B434)=0),$B434,""),"")</f>
      </c>
      <c r="Q434">
        <f>IFERROR(IF(AND($C434&lt;&gt;"",$C434&lt;&gt;"Exterior",COUNTIF($C$6:C434,$C434)=1,COUNTIF($R$6:$R$12,$C434)=0,COUNTIF($B$6:$B$505,$C434)=0),$C434,""),"")</f>
      </c>
      <c r="X434">
        <f>IFERROR(ROUND(MAX(0,SUMIFS($D$6:$D434,$C$6:$C434,$B434,$A$6:$A434,"&lt;="&amp;$A434)*MAX(0,IFERROR(1+VLOOKUP($B434,$F$6:$I$19,4,FALSE),IFERROR(1+INDEX($U$6:$U$505,MATCH($B434,$S$6:$S$505,0)),1)))-(SUMIFS($D$6:$D434,$B$6:$B434,$B434,$A$6:$A434,"&lt;="&amp;$A434)-$D434)),2),0)</f>
      </c>
    </row>
    <row r="435" spans="1:24" x14ac:dyDescent="0.25">
      <c r="A435" s="9">
        <v>46317</v>
      </c>
      <c r="B435" s="10"/>
      <c r="C435" s="10"/>
      <c r="D435" s="11"/>
      <c r="P435">
        <f>IFERROR(IF(AND($B435&lt;&gt;"",$B435&lt;&gt;"Exterior",COUNTIF($B$6:B435,$B435)=1,COUNTIF($R$6:$R$12,$B435)=0),$B435,""),"")</f>
      </c>
      <c r="Q435">
        <f>IFERROR(IF(AND($C435&lt;&gt;"",$C435&lt;&gt;"Exterior",COUNTIF($C$6:C435,$C435)=1,COUNTIF($R$6:$R$12,$C435)=0,COUNTIF($B$6:$B$505,$C435)=0),$C435,""),"")</f>
      </c>
      <c r="X435">
        <f>IFERROR(ROUND(MAX(0,SUMIFS($D$6:$D435,$C$6:$C435,$B435,$A$6:$A435,"&lt;="&amp;$A435)*MAX(0,IFERROR(1+VLOOKUP($B435,$F$6:$I$19,4,FALSE),IFERROR(1+INDEX($U$6:$U$505,MATCH($B435,$S$6:$S$505,0)),1)))-(SUMIFS($D$6:$D435,$B$6:$B435,$B435,$A$6:$A435,"&lt;="&amp;$A435)-$D435)),2),0)</f>
      </c>
    </row>
    <row r="436" spans="1:24" x14ac:dyDescent="0.25">
      <c r="A436" s="9">
        <v>46317</v>
      </c>
      <c r="B436" s="10"/>
      <c r="C436" s="10"/>
      <c r="D436" s="11"/>
      <c r="P436">
        <f>IFERROR(IF(AND($B436&lt;&gt;"",$B436&lt;&gt;"Exterior",COUNTIF($B$6:B436,$B436)=1,COUNTIF($R$6:$R$12,$B436)=0),$B436,""),"")</f>
      </c>
      <c r="Q436">
        <f>IFERROR(IF(AND($C436&lt;&gt;"",$C436&lt;&gt;"Exterior",COUNTIF($C$6:C436,$C436)=1,COUNTIF($R$6:$R$12,$C436)=0,COUNTIF($B$6:$B$505,$C436)=0),$C436,""),"")</f>
      </c>
      <c r="X436">
        <f>IFERROR(ROUND(MAX(0,SUMIFS($D$6:$D436,$C$6:$C436,$B436,$A$6:$A436,"&lt;="&amp;$A436)*MAX(0,IFERROR(1+VLOOKUP($B436,$F$6:$I$19,4,FALSE),IFERROR(1+INDEX($U$6:$U$505,MATCH($B436,$S$6:$S$505,0)),1)))-(SUMIFS($D$6:$D436,$B$6:$B436,$B436,$A$6:$A436,"&lt;="&amp;$A436)-$D436)),2),0)</f>
      </c>
    </row>
    <row r="437" spans="1:24" x14ac:dyDescent="0.25">
      <c r="A437" s="9">
        <v>46317</v>
      </c>
      <c r="B437" s="10"/>
      <c r="C437" s="10"/>
      <c r="D437" s="11"/>
      <c r="P437">
        <f>IFERROR(IF(AND($B437&lt;&gt;"",$B437&lt;&gt;"Exterior",COUNTIF($B$6:B437,$B437)=1,COUNTIF($R$6:$R$12,$B437)=0),$B437,""),"")</f>
      </c>
      <c r="Q437">
        <f>IFERROR(IF(AND($C437&lt;&gt;"",$C437&lt;&gt;"Exterior",COUNTIF($C$6:C437,$C437)=1,COUNTIF($R$6:$R$12,$C437)=0,COUNTIF($B$6:$B$505,$C437)=0),$C437,""),"")</f>
      </c>
      <c r="X437">
        <f>IFERROR(ROUND(MAX(0,SUMIFS($D$6:$D437,$C$6:$C437,$B437,$A$6:$A437,"&lt;="&amp;$A437)*MAX(0,IFERROR(1+VLOOKUP($B437,$F$6:$I$19,4,FALSE),IFERROR(1+INDEX($U$6:$U$505,MATCH($B437,$S$6:$S$505,0)),1)))-(SUMIFS($D$6:$D437,$B$6:$B437,$B437,$A$6:$A437,"&lt;="&amp;$A437)-$D437)),2),0)</f>
      </c>
    </row>
    <row r="438" spans="1:24" x14ac:dyDescent="0.25">
      <c r="A438" s="9">
        <v>46317</v>
      </c>
      <c r="B438" s="10"/>
      <c r="C438" s="10"/>
      <c r="D438" s="11"/>
      <c r="P438">
        <f>IFERROR(IF(AND($B438&lt;&gt;"",$B438&lt;&gt;"Exterior",COUNTIF($B$6:B438,$B438)=1,COUNTIF($R$6:$R$12,$B438)=0),$B438,""),"")</f>
      </c>
      <c r="Q438">
        <f>IFERROR(IF(AND($C438&lt;&gt;"",$C438&lt;&gt;"Exterior",COUNTIF($C$6:C438,$C438)=1,COUNTIF($R$6:$R$12,$C438)=0,COUNTIF($B$6:$B$505,$C438)=0),$C438,""),"")</f>
      </c>
      <c r="X438">
        <f>IFERROR(ROUND(MAX(0,SUMIFS($D$6:$D438,$C$6:$C438,$B438,$A$6:$A438,"&lt;="&amp;$A438)*MAX(0,IFERROR(1+VLOOKUP($B438,$F$6:$I$19,4,FALSE),IFERROR(1+INDEX($U$6:$U$505,MATCH($B438,$S$6:$S$505,0)),1)))-(SUMIFS($D$6:$D438,$B$6:$B438,$B438,$A$6:$A438,"&lt;="&amp;$A438)-$D438)),2),0)</f>
      </c>
    </row>
    <row r="439" spans="1:24" x14ac:dyDescent="0.25">
      <c r="A439" s="9">
        <v>46317</v>
      </c>
      <c r="B439" s="10"/>
      <c r="C439" s="10"/>
      <c r="D439" s="11"/>
      <c r="P439">
        <f>IFERROR(IF(AND($B439&lt;&gt;"",$B439&lt;&gt;"Exterior",COUNTIF($B$6:B439,$B439)=1,COUNTIF($R$6:$R$12,$B439)=0),$B439,""),"")</f>
      </c>
      <c r="Q439">
        <f>IFERROR(IF(AND($C439&lt;&gt;"",$C439&lt;&gt;"Exterior",COUNTIF($C$6:C439,$C439)=1,COUNTIF($R$6:$R$12,$C439)=0,COUNTIF($B$6:$B$505,$C439)=0),$C439,""),"")</f>
      </c>
      <c r="X439">
        <f>IFERROR(ROUND(MAX(0,SUMIFS($D$6:$D439,$C$6:$C439,$B439,$A$6:$A439,"&lt;="&amp;$A439)*MAX(0,IFERROR(1+VLOOKUP($B439,$F$6:$I$19,4,FALSE),IFERROR(1+INDEX($U$6:$U$505,MATCH($B439,$S$6:$S$505,0)),1)))-(SUMIFS($D$6:$D439,$B$6:$B439,$B439,$A$6:$A439,"&lt;="&amp;$A439)-$D439)),2),0)</f>
      </c>
    </row>
    <row r="440" spans="1:24" x14ac:dyDescent="0.25">
      <c r="A440" s="9">
        <v>46317</v>
      </c>
      <c r="B440" s="10"/>
      <c r="C440" s="10"/>
      <c r="D440" s="11"/>
      <c r="P440">
        <f>IFERROR(IF(AND($B440&lt;&gt;"",$B440&lt;&gt;"Exterior",COUNTIF($B$6:B440,$B440)=1,COUNTIF($R$6:$R$12,$B440)=0),$B440,""),"")</f>
      </c>
      <c r="Q440">
        <f>IFERROR(IF(AND($C440&lt;&gt;"",$C440&lt;&gt;"Exterior",COUNTIF($C$6:C440,$C440)=1,COUNTIF($R$6:$R$12,$C440)=0,COUNTIF($B$6:$B$505,$C440)=0),$C440,""),"")</f>
      </c>
      <c r="X440">
        <f>IFERROR(ROUND(MAX(0,SUMIFS($D$6:$D440,$C$6:$C440,$B440,$A$6:$A440,"&lt;="&amp;$A440)*MAX(0,IFERROR(1+VLOOKUP($B440,$F$6:$I$19,4,FALSE),IFERROR(1+INDEX($U$6:$U$505,MATCH($B440,$S$6:$S$505,0)),1)))-(SUMIFS($D$6:$D440,$B$6:$B440,$B440,$A$6:$A440,"&lt;="&amp;$A440)-$D440)),2),0)</f>
      </c>
    </row>
    <row r="441" spans="1:24" x14ac:dyDescent="0.25">
      <c r="A441" s="9">
        <v>46317</v>
      </c>
      <c r="B441" s="10"/>
      <c r="C441" s="10"/>
      <c r="D441" s="11"/>
      <c r="P441">
        <f>IFERROR(IF(AND($B441&lt;&gt;"",$B441&lt;&gt;"Exterior",COUNTIF($B$6:B441,$B441)=1,COUNTIF($R$6:$R$12,$B441)=0),$B441,""),"")</f>
      </c>
      <c r="Q441">
        <f>IFERROR(IF(AND($C441&lt;&gt;"",$C441&lt;&gt;"Exterior",COUNTIF($C$6:C441,$C441)=1,COUNTIF($R$6:$R$12,$C441)=0,COUNTIF($B$6:$B$505,$C441)=0),$C441,""),"")</f>
      </c>
      <c r="X441">
        <f>IFERROR(ROUND(MAX(0,SUMIFS($D$6:$D441,$C$6:$C441,$B441,$A$6:$A441,"&lt;="&amp;$A441)*MAX(0,IFERROR(1+VLOOKUP($B441,$F$6:$I$19,4,FALSE),IFERROR(1+INDEX($U$6:$U$505,MATCH($B441,$S$6:$S$505,0)),1)))-(SUMIFS($D$6:$D441,$B$6:$B441,$B441,$A$6:$A441,"&lt;="&amp;$A441)-$D441)),2),0)</f>
      </c>
    </row>
    <row r="442" spans="1:24" x14ac:dyDescent="0.25">
      <c r="A442" s="9">
        <v>46317</v>
      </c>
      <c r="B442" s="10"/>
      <c r="C442" s="10"/>
      <c r="D442" s="11"/>
      <c r="P442">
        <f>IFERROR(IF(AND($B442&lt;&gt;"",$B442&lt;&gt;"Exterior",COUNTIF($B$6:B442,$B442)=1,COUNTIF($R$6:$R$12,$B442)=0),$B442,""),"")</f>
      </c>
      <c r="Q442">
        <f>IFERROR(IF(AND($C442&lt;&gt;"",$C442&lt;&gt;"Exterior",COUNTIF($C$6:C442,$C442)=1,COUNTIF($R$6:$R$12,$C442)=0,COUNTIF($B$6:$B$505,$C442)=0),$C442,""),"")</f>
      </c>
      <c r="X442">
        <f>IFERROR(ROUND(MAX(0,SUMIFS($D$6:$D442,$C$6:$C442,$B442,$A$6:$A442,"&lt;="&amp;$A442)*MAX(0,IFERROR(1+VLOOKUP($B442,$F$6:$I$19,4,FALSE),IFERROR(1+INDEX($U$6:$U$505,MATCH($B442,$S$6:$S$505,0)),1)))-(SUMIFS($D$6:$D442,$B$6:$B442,$B442,$A$6:$A442,"&lt;="&amp;$A442)-$D442)),2),0)</f>
      </c>
    </row>
    <row r="443" spans="1:24" x14ac:dyDescent="0.25">
      <c r="A443" s="9">
        <v>46317</v>
      </c>
      <c r="B443" s="10"/>
      <c r="C443" s="10"/>
      <c r="D443" s="11"/>
      <c r="P443">
        <f>IFERROR(IF(AND($B443&lt;&gt;"",$B443&lt;&gt;"Exterior",COUNTIF($B$6:B443,$B443)=1,COUNTIF($R$6:$R$12,$B443)=0),$B443,""),"")</f>
      </c>
      <c r="Q443">
        <f>IFERROR(IF(AND($C443&lt;&gt;"",$C443&lt;&gt;"Exterior",COUNTIF($C$6:C443,$C443)=1,COUNTIF($R$6:$R$12,$C443)=0,COUNTIF($B$6:$B$505,$C443)=0),$C443,""),"")</f>
      </c>
      <c r="X443">
        <f>IFERROR(ROUND(MAX(0,SUMIFS($D$6:$D443,$C$6:$C443,$B443,$A$6:$A443,"&lt;="&amp;$A443)*MAX(0,IFERROR(1+VLOOKUP($B443,$F$6:$I$19,4,FALSE),IFERROR(1+INDEX($U$6:$U$505,MATCH($B443,$S$6:$S$505,0)),1)))-(SUMIFS($D$6:$D443,$B$6:$B443,$B443,$A$6:$A443,"&lt;="&amp;$A443)-$D443)),2),0)</f>
      </c>
    </row>
    <row r="444" spans="1:24" x14ac:dyDescent="0.25">
      <c r="A444" s="9">
        <v>46317</v>
      </c>
      <c r="B444" s="10"/>
      <c r="C444" s="10"/>
      <c r="D444" s="11"/>
      <c r="P444">
        <f>IFERROR(IF(AND($B444&lt;&gt;"",$B444&lt;&gt;"Exterior",COUNTIF($B$6:B444,$B444)=1,COUNTIF($R$6:$R$12,$B444)=0),$B444,""),"")</f>
      </c>
      <c r="Q444">
        <f>IFERROR(IF(AND($C444&lt;&gt;"",$C444&lt;&gt;"Exterior",COUNTIF($C$6:C444,$C444)=1,COUNTIF($R$6:$R$12,$C444)=0,COUNTIF($B$6:$B$505,$C444)=0),$C444,""),"")</f>
      </c>
      <c r="X444">
        <f>IFERROR(ROUND(MAX(0,SUMIFS($D$6:$D444,$C$6:$C444,$B444,$A$6:$A444,"&lt;="&amp;$A444)*MAX(0,IFERROR(1+VLOOKUP($B444,$F$6:$I$19,4,FALSE),IFERROR(1+INDEX($U$6:$U$505,MATCH($B444,$S$6:$S$505,0)),1)))-(SUMIFS($D$6:$D444,$B$6:$B444,$B444,$A$6:$A444,"&lt;="&amp;$A444)-$D444)),2),0)</f>
      </c>
    </row>
    <row r="445" spans="1:24" x14ac:dyDescent="0.25">
      <c r="A445" s="9">
        <v>46317</v>
      </c>
      <c r="B445" s="10"/>
      <c r="C445" s="10"/>
      <c r="D445" s="11"/>
      <c r="P445">
        <f>IFERROR(IF(AND($B445&lt;&gt;"",$B445&lt;&gt;"Exterior",COUNTIF($B$6:B445,$B445)=1,COUNTIF($R$6:$R$12,$B445)=0),$B445,""),"")</f>
      </c>
      <c r="Q445">
        <f>IFERROR(IF(AND($C445&lt;&gt;"",$C445&lt;&gt;"Exterior",COUNTIF($C$6:C445,$C445)=1,COUNTIF($R$6:$R$12,$C445)=0,COUNTIF($B$6:$B$505,$C445)=0),$C445,""),"")</f>
      </c>
      <c r="X445">
        <f>IFERROR(ROUND(MAX(0,SUMIFS($D$6:$D445,$C$6:$C445,$B445,$A$6:$A445,"&lt;="&amp;$A445)*MAX(0,IFERROR(1+VLOOKUP($B445,$F$6:$I$19,4,FALSE),IFERROR(1+INDEX($U$6:$U$505,MATCH($B445,$S$6:$S$505,0)),1)))-(SUMIFS($D$6:$D445,$B$6:$B445,$B445,$A$6:$A445,"&lt;="&amp;$A445)-$D445)),2),0)</f>
      </c>
    </row>
    <row r="446" spans="1:24" x14ac:dyDescent="0.25">
      <c r="A446" s="9">
        <v>46317</v>
      </c>
      <c r="B446" s="10"/>
      <c r="C446" s="10"/>
      <c r="D446" s="11"/>
      <c r="P446">
        <f>IFERROR(IF(AND($B446&lt;&gt;"",$B446&lt;&gt;"Exterior",COUNTIF($B$6:B446,$B446)=1,COUNTIF($R$6:$R$12,$B446)=0),$B446,""),"")</f>
      </c>
      <c r="Q446">
        <f>IFERROR(IF(AND($C446&lt;&gt;"",$C446&lt;&gt;"Exterior",COUNTIF($C$6:C446,$C446)=1,COUNTIF($R$6:$R$12,$C446)=0,COUNTIF($B$6:$B$505,$C446)=0),$C446,""),"")</f>
      </c>
      <c r="X446">
        <f>IFERROR(ROUND(MAX(0,SUMIFS($D$6:$D446,$C$6:$C446,$B446,$A$6:$A446,"&lt;="&amp;$A446)*MAX(0,IFERROR(1+VLOOKUP($B446,$F$6:$I$19,4,FALSE),IFERROR(1+INDEX($U$6:$U$505,MATCH($B446,$S$6:$S$505,0)),1)))-(SUMIFS($D$6:$D446,$B$6:$B446,$B446,$A$6:$A446,"&lt;="&amp;$A446)-$D446)),2),0)</f>
      </c>
    </row>
    <row r="447" spans="1:24" x14ac:dyDescent="0.25">
      <c r="A447" s="9">
        <v>46317</v>
      </c>
      <c r="B447" s="10"/>
      <c r="C447" s="10"/>
      <c r="D447" s="11"/>
      <c r="P447">
        <f>IFERROR(IF(AND($B447&lt;&gt;"",$B447&lt;&gt;"Exterior",COUNTIF($B$6:B447,$B447)=1,COUNTIF($R$6:$R$12,$B447)=0),$B447,""),"")</f>
      </c>
      <c r="Q447">
        <f>IFERROR(IF(AND($C447&lt;&gt;"",$C447&lt;&gt;"Exterior",COUNTIF($C$6:C447,$C447)=1,COUNTIF($R$6:$R$12,$C447)=0,COUNTIF($B$6:$B$505,$C447)=0),$C447,""),"")</f>
      </c>
      <c r="X447">
        <f>IFERROR(ROUND(MAX(0,SUMIFS($D$6:$D447,$C$6:$C447,$B447,$A$6:$A447,"&lt;="&amp;$A447)*MAX(0,IFERROR(1+VLOOKUP($B447,$F$6:$I$19,4,FALSE),IFERROR(1+INDEX($U$6:$U$505,MATCH($B447,$S$6:$S$505,0)),1)))-(SUMIFS($D$6:$D447,$B$6:$B447,$B447,$A$6:$A447,"&lt;="&amp;$A447)-$D447)),2),0)</f>
      </c>
    </row>
    <row r="448" spans="1:24" x14ac:dyDescent="0.25">
      <c r="A448" s="9">
        <v>46317</v>
      </c>
      <c r="B448" s="10"/>
      <c r="C448" s="10"/>
      <c r="D448" s="11"/>
      <c r="P448">
        <f>IFERROR(IF(AND($B448&lt;&gt;"",$B448&lt;&gt;"Exterior",COUNTIF($B$6:B448,$B448)=1,COUNTIF($R$6:$R$12,$B448)=0),$B448,""),"")</f>
      </c>
      <c r="Q448">
        <f>IFERROR(IF(AND($C448&lt;&gt;"",$C448&lt;&gt;"Exterior",COUNTIF($C$6:C448,$C448)=1,COUNTIF($R$6:$R$12,$C448)=0,COUNTIF($B$6:$B$505,$C448)=0),$C448,""),"")</f>
      </c>
      <c r="X448">
        <f>IFERROR(ROUND(MAX(0,SUMIFS($D$6:$D448,$C$6:$C448,$B448,$A$6:$A448,"&lt;="&amp;$A448)*MAX(0,IFERROR(1+VLOOKUP($B448,$F$6:$I$19,4,FALSE),IFERROR(1+INDEX($U$6:$U$505,MATCH($B448,$S$6:$S$505,0)),1)))-(SUMIFS($D$6:$D448,$B$6:$B448,$B448,$A$6:$A448,"&lt;="&amp;$A448)-$D448)),2),0)</f>
      </c>
    </row>
    <row r="449" spans="1:24" x14ac:dyDescent="0.25">
      <c r="A449" s="9">
        <v>46317</v>
      </c>
      <c r="B449" s="10"/>
      <c r="C449" s="10"/>
      <c r="D449" s="11"/>
      <c r="P449">
        <f>IFERROR(IF(AND($B449&lt;&gt;"",$B449&lt;&gt;"Exterior",COUNTIF($B$6:B449,$B449)=1,COUNTIF($R$6:$R$12,$B449)=0),$B449,""),"")</f>
      </c>
      <c r="Q449">
        <f>IFERROR(IF(AND($C449&lt;&gt;"",$C449&lt;&gt;"Exterior",COUNTIF($C$6:C449,$C449)=1,COUNTIF($R$6:$R$12,$C449)=0,COUNTIF($B$6:$B$505,$C449)=0),$C449,""),"")</f>
      </c>
      <c r="X449">
        <f>IFERROR(ROUND(MAX(0,SUMIFS($D$6:$D449,$C$6:$C449,$B449,$A$6:$A449,"&lt;="&amp;$A449)*MAX(0,IFERROR(1+VLOOKUP($B449,$F$6:$I$19,4,FALSE),IFERROR(1+INDEX($U$6:$U$505,MATCH($B449,$S$6:$S$505,0)),1)))-(SUMIFS($D$6:$D449,$B$6:$B449,$B449,$A$6:$A449,"&lt;="&amp;$A449)-$D449)),2),0)</f>
      </c>
    </row>
    <row r="450" spans="1:24" x14ac:dyDescent="0.25">
      <c r="A450" s="9">
        <v>46317</v>
      </c>
      <c r="B450" s="10"/>
      <c r="C450" s="10"/>
      <c r="D450" s="11"/>
      <c r="P450">
        <f>IFERROR(IF(AND($B450&lt;&gt;"",$B450&lt;&gt;"Exterior",COUNTIF($B$6:B450,$B450)=1,COUNTIF($R$6:$R$12,$B450)=0),$B450,""),"")</f>
      </c>
      <c r="Q450">
        <f>IFERROR(IF(AND($C450&lt;&gt;"",$C450&lt;&gt;"Exterior",COUNTIF($C$6:C450,$C450)=1,COUNTIF($R$6:$R$12,$C450)=0,COUNTIF($B$6:$B$505,$C450)=0),$C450,""),"")</f>
      </c>
      <c r="X450">
        <f>IFERROR(ROUND(MAX(0,SUMIFS($D$6:$D450,$C$6:$C450,$B450,$A$6:$A450,"&lt;="&amp;$A450)*MAX(0,IFERROR(1+VLOOKUP($B450,$F$6:$I$19,4,FALSE),IFERROR(1+INDEX($U$6:$U$505,MATCH($B450,$S$6:$S$505,0)),1)))-(SUMIFS($D$6:$D450,$B$6:$B450,$B450,$A$6:$A450,"&lt;="&amp;$A450)-$D450)),2),0)</f>
      </c>
    </row>
    <row r="451" spans="1:24" x14ac:dyDescent="0.25">
      <c r="A451" s="9">
        <v>46317</v>
      </c>
      <c r="B451" s="10"/>
      <c r="C451" s="10"/>
      <c r="D451" s="11"/>
      <c r="P451">
        <f>IFERROR(IF(AND($B451&lt;&gt;"",$B451&lt;&gt;"Exterior",COUNTIF($B$6:B451,$B451)=1,COUNTIF($R$6:$R$12,$B451)=0),$B451,""),"")</f>
      </c>
      <c r="Q451">
        <f>IFERROR(IF(AND($C451&lt;&gt;"",$C451&lt;&gt;"Exterior",COUNTIF($C$6:C451,$C451)=1,COUNTIF($R$6:$R$12,$C451)=0,COUNTIF($B$6:$B$505,$C451)=0),$C451,""),"")</f>
      </c>
      <c r="X451">
        <f>IFERROR(ROUND(MAX(0,SUMIFS($D$6:$D451,$C$6:$C451,$B451,$A$6:$A451,"&lt;="&amp;$A451)*MAX(0,IFERROR(1+VLOOKUP($B451,$F$6:$I$19,4,FALSE),IFERROR(1+INDEX($U$6:$U$505,MATCH($B451,$S$6:$S$505,0)),1)))-(SUMIFS($D$6:$D451,$B$6:$B451,$B451,$A$6:$A451,"&lt;="&amp;$A451)-$D451)),2),0)</f>
      </c>
    </row>
    <row r="452" spans="1:24" x14ac:dyDescent="0.25">
      <c r="A452" s="9">
        <v>46317</v>
      </c>
      <c r="B452" s="10"/>
      <c r="C452" s="10"/>
      <c r="D452" s="11"/>
      <c r="P452">
        <f>IFERROR(IF(AND($B452&lt;&gt;"",$B452&lt;&gt;"Exterior",COUNTIF($B$6:B452,$B452)=1,COUNTIF($R$6:$R$12,$B452)=0),$B452,""),"")</f>
      </c>
      <c r="Q452">
        <f>IFERROR(IF(AND($C452&lt;&gt;"",$C452&lt;&gt;"Exterior",COUNTIF($C$6:C452,$C452)=1,COUNTIF($R$6:$R$12,$C452)=0,COUNTIF($B$6:$B$505,$C452)=0),$C452,""),"")</f>
      </c>
      <c r="X452">
        <f>IFERROR(ROUND(MAX(0,SUMIFS($D$6:$D452,$C$6:$C452,$B452,$A$6:$A452,"&lt;="&amp;$A452)*MAX(0,IFERROR(1+VLOOKUP($B452,$F$6:$I$19,4,FALSE),IFERROR(1+INDEX($U$6:$U$505,MATCH($B452,$S$6:$S$505,0)),1)))-(SUMIFS($D$6:$D452,$B$6:$B452,$B452,$A$6:$A452,"&lt;="&amp;$A452)-$D452)),2),0)</f>
      </c>
    </row>
    <row r="453" spans="1:24" x14ac:dyDescent="0.25">
      <c r="A453" s="9">
        <v>46317</v>
      </c>
      <c r="B453" s="10"/>
      <c r="C453" s="10"/>
      <c r="D453" s="11"/>
      <c r="P453">
        <f>IFERROR(IF(AND($B453&lt;&gt;"",$B453&lt;&gt;"Exterior",COUNTIF($B$6:B453,$B453)=1,COUNTIF($R$6:$R$12,$B453)=0),$B453,""),"")</f>
      </c>
      <c r="Q453">
        <f>IFERROR(IF(AND($C453&lt;&gt;"",$C453&lt;&gt;"Exterior",COUNTIF($C$6:C453,$C453)=1,COUNTIF($R$6:$R$12,$C453)=0,COUNTIF($B$6:$B$505,$C453)=0),$C453,""),"")</f>
      </c>
      <c r="X453">
        <f>IFERROR(ROUND(MAX(0,SUMIFS($D$6:$D453,$C$6:$C453,$B453,$A$6:$A453,"&lt;="&amp;$A453)*MAX(0,IFERROR(1+VLOOKUP($B453,$F$6:$I$19,4,FALSE),IFERROR(1+INDEX($U$6:$U$505,MATCH($B453,$S$6:$S$505,0)),1)))-(SUMIFS($D$6:$D453,$B$6:$B453,$B453,$A$6:$A453,"&lt;="&amp;$A453)-$D453)),2),0)</f>
      </c>
    </row>
    <row r="454" spans="1:24" x14ac:dyDescent="0.25">
      <c r="A454" s="9">
        <v>46317</v>
      </c>
      <c r="B454" s="10"/>
      <c r="C454" s="10"/>
      <c r="D454" s="11"/>
      <c r="P454">
        <f>IFERROR(IF(AND($B454&lt;&gt;"",$B454&lt;&gt;"Exterior",COUNTIF($B$6:B454,$B454)=1,COUNTIF($R$6:$R$12,$B454)=0),$B454,""),"")</f>
      </c>
      <c r="Q454">
        <f>IFERROR(IF(AND($C454&lt;&gt;"",$C454&lt;&gt;"Exterior",COUNTIF($C$6:C454,$C454)=1,COUNTIF($R$6:$R$12,$C454)=0,COUNTIF($B$6:$B$505,$C454)=0),$C454,""),"")</f>
      </c>
      <c r="X454">
        <f>IFERROR(ROUND(MAX(0,SUMIFS($D$6:$D454,$C$6:$C454,$B454,$A$6:$A454,"&lt;="&amp;$A454)*MAX(0,IFERROR(1+VLOOKUP($B454,$F$6:$I$19,4,FALSE),IFERROR(1+INDEX($U$6:$U$505,MATCH($B454,$S$6:$S$505,0)),1)))-(SUMIFS($D$6:$D454,$B$6:$B454,$B454,$A$6:$A454,"&lt;="&amp;$A454)-$D454)),2),0)</f>
      </c>
    </row>
    <row r="455" spans="1:24" x14ac:dyDescent="0.25">
      <c r="A455" s="9">
        <v>46317</v>
      </c>
      <c r="B455" s="10"/>
      <c r="C455" s="10"/>
      <c r="D455" s="11"/>
      <c r="P455">
        <f>IFERROR(IF(AND($B455&lt;&gt;"",$B455&lt;&gt;"Exterior",COUNTIF($B$6:B455,$B455)=1,COUNTIF($R$6:$R$12,$B455)=0),$B455,""),"")</f>
      </c>
      <c r="Q455">
        <f>IFERROR(IF(AND($C455&lt;&gt;"",$C455&lt;&gt;"Exterior",COUNTIF($C$6:C455,$C455)=1,COUNTIF($R$6:$R$12,$C455)=0,COUNTIF($B$6:$B$505,$C455)=0),$C455,""),"")</f>
      </c>
      <c r="X455">
        <f>IFERROR(ROUND(MAX(0,SUMIFS($D$6:$D455,$C$6:$C455,$B455,$A$6:$A455,"&lt;="&amp;$A455)*MAX(0,IFERROR(1+VLOOKUP($B455,$F$6:$I$19,4,FALSE),IFERROR(1+INDEX($U$6:$U$505,MATCH($B455,$S$6:$S$505,0)),1)))-(SUMIFS($D$6:$D455,$B$6:$B455,$B455,$A$6:$A455,"&lt;="&amp;$A455)-$D455)),2),0)</f>
      </c>
    </row>
    <row r="456" spans="1:24" x14ac:dyDescent="0.25">
      <c r="A456" s="9">
        <v>46317</v>
      </c>
      <c r="B456" s="10"/>
      <c r="C456" s="10"/>
      <c r="D456" s="11"/>
      <c r="P456">
        <f>IFERROR(IF(AND($B456&lt;&gt;"",$B456&lt;&gt;"Exterior",COUNTIF($B$6:B456,$B456)=1,COUNTIF($R$6:$R$12,$B456)=0),$B456,""),"")</f>
      </c>
      <c r="Q456">
        <f>IFERROR(IF(AND($C456&lt;&gt;"",$C456&lt;&gt;"Exterior",COUNTIF($C$6:C456,$C456)=1,COUNTIF($R$6:$R$12,$C456)=0,COUNTIF($B$6:$B$505,$C456)=0),$C456,""),"")</f>
      </c>
      <c r="X456">
        <f>IFERROR(ROUND(MAX(0,SUMIFS($D$6:$D456,$C$6:$C456,$B456,$A$6:$A456,"&lt;="&amp;$A456)*MAX(0,IFERROR(1+VLOOKUP($B456,$F$6:$I$19,4,FALSE),IFERROR(1+INDEX($U$6:$U$505,MATCH($B456,$S$6:$S$505,0)),1)))-(SUMIFS($D$6:$D456,$B$6:$B456,$B456,$A$6:$A456,"&lt;="&amp;$A456)-$D456)),2),0)</f>
      </c>
    </row>
    <row r="457" spans="1:24" x14ac:dyDescent="0.25">
      <c r="A457" s="9">
        <v>46317</v>
      </c>
      <c r="B457" s="10"/>
      <c r="C457" s="10"/>
      <c r="D457" s="11"/>
      <c r="P457">
        <f>IFERROR(IF(AND($B457&lt;&gt;"",$B457&lt;&gt;"Exterior",COUNTIF($B$6:B457,$B457)=1,COUNTIF($R$6:$R$12,$B457)=0),$B457,""),"")</f>
      </c>
      <c r="Q457">
        <f>IFERROR(IF(AND($C457&lt;&gt;"",$C457&lt;&gt;"Exterior",COUNTIF($C$6:C457,$C457)=1,COUNTIF($R$6:$R$12,$C457)=0,COUNTIF($B$6:$B$505,$C457)=0),$C457,""),"")</f>
      </c>
      <c r="X457">
        <f>IFERROR(ROUND(MAX(0,SUMIFS($D$6:$D457,$C$6:$C457,$B457,$A$6:$A457,"&lt;="&amp;$A457)*MAX(0,IFERROR(1+VLOOKUP($B457,$F$6:$I$19,4,FALSE),IFERROR(1+INDEX($U$6:$U$505,MATCH($B457,$S$6:$S$505,0)),1)))-(SUMIFS($D$6:$D457,$B$6:$B457,$B457,$A$6:$A457,"&lt;="&amp;$A457)-$D457)),2),0)</f>
      </c>
    </row>
    <row r="458" spans="1:24" x14ac:dyDescent="0.25">
      <c r="A458" s="9">
        <v>46317</v>
      </c>
      <c r="B458" s="10"/>
      <c r="C458" s="10"/>
      <c r="D458" s="11"/>
      <c r="P458">
        <f>IFERROR(IF(AND($B458&lt;&gt;"",$B458&lt;&gt;"Exterior",COUNTIF($B$6:B458,$B458)=1,COUNTIF($R$6:$R$12,$B458)=0),$B458,""),"")</f>
      </c>
      <c r="Q458">
        <f>IFERROR(IF(AND($C458&lt;&gt;"",$C458&lt;&gt;"Exterior",COUNTIF($C$6:C458,$C458)=1,COUNTIF($R$6:$R$12,$C458)=0,COUNTIF($B$6:$B$505,$C458)=0),$C458,""),"")</f>
      </c>
      <c r="X458">
        <f>IFERROR(ROUND(MAX(0,SUMIFS($D$6:$D458,$C$6:$C458,$B458,$A$6:$A458,"&lt;="&amp;$A458)*MAX(0,IFERROR(1+VLOOKUP($B458,$F$6:$I$19,4,FALSE),IFERROR(1+INDEX($U$6:$U$505,MATCH($B458,$S$6:$S$505,0)),1)))-(SUMIFS($D$6:$D458,$B$6:$B458,$B458,$A$6:$A458,"&lt;="&amp;$A458)-$D458)),2),0)</f>
      </c>
    </row>
    <row r="459" spans="1:24" x14ac:dyDescent="0.25">
      <c r="A459" s="9">
        <v>46317</v>
      </c>
      <c r="B459" s="10"/>
      <c r="C459" s="10"/>
      <c r="D459" s="11"/>
      <c r="P459">
        <f>IFERROR(IF(AND($B459&lt;&gt;"",$B459&lt;&gt;"Exterior",COUNTIF($B$6:B459,$B459)=1,COUNTIF($R$6:$R$12,$B459)=0),$B459,""),"")</f>
      </c>
      <c r="Q459">
        <f>IFERROR(IF(AND($C459&lt;&gt;"",$C459&lt;&gt;"Exterior",COUNTIF($C$6:C459,$C459)=1,COUNTIF($R$6:$R$12,$C459)=0,COUNTIF($B$6:$B$505,$C459)=0),$C459,""),"")</f>
      </c>
      <c r="X459">
        <f>IFERROR(ROUND(MAX(0,SUMIFS($D$6:$D459,$C$6:$C459,$B459,$A$6:$A459,"&lt;="&amp;$A459)*MAX(0,IFERROR(1+VLOOKUP($B459,$F$6:$I$19,4,FALSE),IFERROR(1+INDEX($U$6:$U$505,MATCH($B459,$S$6:$S$505,0)),1)))-(SUMIFS($D$6:$D459,$B$6:$B459,$B459,$A$6:$A459,"&lt;="&amp;$A459)-$D459)),2),0)</f>
      </c>
    </row>
    <row r="460" spans="1:24" x14ac:dyDescent="0.25">
      <c r="A460" s="9">
        <v>46317</v>
      </c>
      <c r="B460" s="10"/>
      <c r="C460" s="10"/>
      <c r="D460" s="11"/>
      <c r="P460">
        <f>IFERROR(IF(AND($B460&lt;&gt;"",$B460&lt;&gt;"Exterior",COUNTIF($B$6:B460,$B460)=1,COUNTIF($R$6:$R$12,$B460)=0),$B460,""),"")</f>
      </c>
      <c r="Q460">
        <f>IFERROR(IF(AND($C460&lt;&gt;"",$C460&lt;&gt;"Exterior",COUNTIF($C$6:C460,$C460)=1,COUNTIF($R$6:$R$12,$C460)=0,COUNTIF($B$6:$B$505,$C460)=0),$C460,""),"")</f>
      </c>
      <c r="X460">
        <f>IFERROR(ROUND(MAX(0,SUMIFS($D$6:$D460,$C$6:$C460,$B460,$A$6:$A460,"&lt;="&amp;$A460)*MAX(0,IFERROR(1+VLOOKUP($B460,$F$6:$I$19,4,FALSE),IFERROR(1+INDEX($U$6:$U$505,MATCH($B460,$S$6:$S$505,0)),1)))-(SUMIFS($D$6:$D460,$B$6:$B460,$B460,$A$6:$A460,"&lt;="&amp;$A460)-$D460)),2),0)</f>
      </c>
    </row>
    <row r="461" spans="1:24" x14ac:dyDescent="0.25">
      <c r="A461" s="9">
        <v>46317</v>
      </c>
      <c r="B461" s="10"/>
      <c r="C461" s="10"/>
      <c r="D461" s="11"/>
      <c r="P461">
        <f>IFERROR(IF(AND($B461&lt;&gt;"",$B461&lt;&gt;"Exterior",COUNTIF($B$6:B461,$B461)=1,COUNTIF($R$6:$R$12,$B461)=0),$B461,""),"")</f>
      </c>
      <c r="Q461">
        <f>IFERROR(IF(AND($C461&lt;&gt;"",$C461&lt;&gt;"Exterior",COUNTIF($C$6:C461,$C461)=1,COUNTIF($R$6:$R$12,$C461)=0,COUNTIF($B$6:$B$505,$C461)=0),$C461,""),"")</f>
      </c>
      <c r="X461">
        <f>IFERROR(ROUND(MAX(0,SUMIFS($D$6:$D461,$C$6:$C461,$B461,$A$6:$A461,"&lt;="&amp;$A461)*MAX(0,IFERROR(1+VLOOKUP($B461,$F$6:$I$19,4,FALSE),IFERROR(1+INDEX($U$6:$U$505,MATCH($B461,$S$6:$S$505,0)),1)))-(SUMIFS($D$6:$D461,$B$6:$B461,$B461,$A$6:$A461,"&lt;="&amp;$A461)-$D461)),2),0)</f>
      </c>
    </row>
    <row r="462" spans="1:24" x14ac:dyDescent="0.25">
      <c r="A462" s="9">
        <v>46317</v>
      </c>
      <c r="B462" s="10"/>
      <c r="C462" s="10"/>
      <c r="D462" s="11"/>
      <c r="P462">
        <f>IFERROR(IF(AND($B462&lt;&gt;"",$B462&lt;&gt;"Exterior",COUNTIF($B$6:B462,$B462)=1,COUNTIF($R$6:$R$12,$B462)=0),$B462,""),"")</f>
      </c>
      <c r="Q462">
        <f>IFERROR(IF(AND($C462&lt;&gt;"",$C462&lt;&gt;"Exterior",COUNTIF($C$6:C462,$C462)=1,COUNTIF($R$6:$R$12,$C462)=0,COUNTIF($B$6:$B$505,$C462)=0),$C462,""),"")</f>
      </c>
      <c r="X462">
        <f>IFERROR(ROUND(MAX(0,SUMIFS($D$6:$D462,$C$6:$C462,$B462,$A$6:$A462,"&lt;="&amp;$A462)*MAX(0,IFERROR(1+VLOOKUP($B462,$F$6:$I$19,4,FALSE),IFERROR(1+INDEX($U$6:$U$505,MATCH($B462,$S$6:$S$505,0)),1)))-(SUMIFS($D$6:$D462,$B$6:$B462,$B462,$A$6:$A462,"&lt;="&amp;$A462)-$D462)),2),0)</f>
      </c>
    </row>
    <row r="463" spans="1:24" x14ac:dyDescent="0.25">
      <c r="A463" s="9">
        <v>46317</v>
      </c>
      <c r="B463" s="10"/>
      <c r="C463" s="10"/>
      <c r="D463" s="11"/>
      <c r="P463">
        <f>IFERROR(IF(AND($B463&lt;&gt;"",$B463&lt;&gt;"Exterior",COUNTIF($B$6:B463,$B463)=1,COUNTIF($R$6:$R$12,$B463)=0),$B463,""),"")</f>
      </c>
      <c r="Q463">
        <f>IFERROR(IF(AND($C463&lt;&gt;"",$C463&lt;&gt;"Exterior",COUNTIF($C$6:C463,$C463)=1,COUNTIF($R$6:$R$12,$C463)=0,COUNTIF($B$6:$B$505,$C463)=0),$C463,""),"")</f>
      </c>
      <c r="X463">
        <f>IFERROR(ROUND(MAX(0,SUMIFS($D$6:$D463,$C$6:$C463,$B463,$A$6:$A463,"&lt;="&amp;$A463)*MAX(0,IFERROR(1+VLOOKUP($B463,$F$6:$I$19,4,FALSE),IFERROR(1+INDEX($U$6:$U$505,MATCH($B463,$S$6:$S$505,0)),1)))-(SUMIFS($D$6:$D463,$B$6:$B463,$B463,$A$6:$A463,"&lt;="&amp;$A463)-$D463)),2),0)</f>
      </c>
    </row>
    <row r="464" spans="1:24" x14ac:dyDescent="0.25">
      <c r="A464" s="9">
        <v>46317</v>
      </c>
      <c r="B464" s="10"/>
      <c r="C464" s="10"/>
      <c r="D464" s="11"/>
      <c r="P464">
        <f>IFERROR(IF(AND($B464&lt;&gt;"",$B464&lt;&gt;"Exterior",COUNTIF($B$6:B464,$B464)=1,COUNTIF($R$6:$R$12,$B464)=0),$B464,""),"")</f>
      </c>
      <c r="Q464">
        <f>IFERROR(IF(AND($C464&lt;&gt;"",$C464&lt;&gt;"Exterior",COUNTIF($C$6:C464,$C464)=1,COUNTIF($R$6:$R$12,$C464)=0,COUNTIF($B$6:$B$505,$C464)=0),$C464,""),"")</f>
      </c>
      <c r="X464">
        <f>IFERROR(ROUND(MAX(0,SUMIFS($D$6:$D464,$C$6:$C464,$B464,$A$6:$A464,"&lt;="&amp;$A464)*MAX(0,IFERROR(1+VLOOKUP($B464,$F$6:$I$19,4,FALSE),IFERROR(1+INDEX($U$6:$U$505,MATCH($B464,$S$6:$S$505,0)),1)))-(SUMIFS($D$6:$D464,$B$6:$B464,$B464,$A$6:$A464,"&lt;="&amp;$A464)-$D464)),2),0)</f>
      </c>
    </row>
    <row r="465" spans="1:24" x14ac:dyDescent="0.25">
      <c r="A465" s="9">
        <v>46317</v>
      </c>
      <c r="B465" s="10"/>
      <c r="C465" s="10"/>
      <c r="D465" s="11"/>
      <c r="P465">
        <f>IFERROR(IF(AND($B465&lt;&gt;"",$B465&lt;&gt;"Exterior",COUNTIF($B$6:B465,$B465)=1,COUNTIF($R$6:$R$12,$B465)=0),$B465,""),"")</f>
      </c>
      <c r="Q465">
        <f>IFERROR(IF(AND($C465&lt;&gt;"",$C465&lt;&gt;"Exterior",COUNTIF($C$6:C465,$C465)=1,COUNTIF($R$6:$R$12,$C465)=0,COUNTIF($B$6:$B$505,$C465)=0),$C465,""),"")</f>
      </c>
      <c r="X465">
        <f>IFERROR(ROUND(MAX(0,SUMIFS($D$6:$D465,$C$6:$C465,$B465,$A$6:$A465,"&lt;="&amp;$A465)*MAX(0,IFERROR(1+VLOOKUP($B465,$F$6:$I$19,4,FALSE),IFERROR(1+INDEX($U$6:$U$505,MATCH($B465,$S$6:$S$505,0)),1)))-(SUMIFS($D$6:$D465,$B$6:$B465,$B465,$A$6:$A465,"&lt;="&amp;$A465)-$D465)),2),0)</f>
      </c>
    </row>
    <row r="466" spans="1:24" x14ac:dyDescent="0.25">
      <c r="A466" s="9">
        <v>46317</v>
      </c>
      <c r="B466" s="10"/>
      <c r="C466" s="10"/>
      <c r="D466" s="11"/>
      <c r="P466">
        <f>IFERROR(IF(AND($B466&lt;&gt;"",$B466&lt;&gt;"Exterior",COUNTIF($B$6:B466,$B466)=1,COUNTIF($R$6:$R$12,$B466)=0),$B466,""),"")</f>
      </c>
      <c r="Q466">
        <f>IFERROR(IF(AND($C466&lt;&gt;"",$C466&lt;&gt;"Exterior",COUNTIF($C$6:C466,$C466)=1,COUNTIF($R$6:$R$12,$C466)=0,COUNTIF($B$6:$B$505,$C466)=0),$C466,""),"")</f>
      </c>
      <c r="X466">
        <f>IFERROR(ROUND(MAX(0,SUMIFS($D$6:$D466,$C$6:$C466,$B466,$A$6:$A466,"&lt;="&amp;$A466)*MAX(0,IFERROR(1+VLOOKUP($B466,$F$6:$I$19,4,FALSE),IFERROR(1+INDEX($U$6:$U$505,MATCH($B466,$S$6:$S$505,0)),1)))-(SUMIFS($D$6:$D466,$B$6:$B466,$B466,$A$6:$A466,"&lt;="&amp;$A466)-$D466)),2),0)</f>
      </c>
    </row>
    <row r="467" spans="1:24" x14ac:dyDescent="0.25">
      <c r="A467" s="9">
        <v>46317</v>
      </c>
      <c r="B467" s="10"/>
      <c r="C467" s="10"/>
      <c r="D467" s="11"/>
      <c r="P467">
        <f>IFERROR(IF(AND($B467&lt;&gt;"",$B467&lt;&gt;"Exterior",COUNTIF($B$6:B467,$B467)=1,COUNTIF($R$6:$R$12,$B467)=0),$B467,""),"")</f>
      </c>
      <c r="Q467">
        <f>IFERROR(IF(AND($C467&lt;&gt;"",$C467&lt;&gt;"Exterior",COUNTIF($C$6:C467,$C467)=1,COUNTIF($R$6:$R$12,$C467)=0,COUNTIF($B$6:$B$505,$C467)=0),$C467,""),"")</f>
      </c>
      <c r="X467">
        <f>IFERROR(ROUND(MAX(0,SUMIFS($D$6:$D467,$C$6:$C467,$B467,$A$6:$A467,"&lt;="&amp;$A467)*MAX(0,IFERROR(1+VLOOKUP($B467,$F$6:$I$19,4,FALSE),IFERROR(1+INDEX($U$6:$U$505,MATCH($B467,$S$6:$S$505,0)),1)))-(SUMIFS($D$6:$D467,$B$6:$B467,$B467,$A$6:$A467,"&lt;="&amp;$A467)-$D467)),2),0)</f>
      </c>
    </row>
    <row r="468" spans="1:24" x14ac:dyDescent="0.25">
      <c r="A468" s="9">
        <v>46317</v>
      </c>
      <c r="B468" s="10"/>
      <c r="C468" s="10"/>
      <c r="D468" s="11"/>
      <c r="P468">
        <f>IFERROR(IF(AND($B468&lt;&gt;"",$B468&lt;&gt;"Exterior",COUNTIF($B$6:B468,$B468)=1,COUNTIF($R$6:$R$12,$B468)=0),$B468,""),"")</f>
      </c>
      <c r="Q468">
        <f>IFERROR(IF(AND($C468&lt;&gt;"",$C468&lt;&gt;"Exterior",COUNTIF($C$6:C468,$C468)=1,COUNTIF($R$6:$R$12,$C468)=0,COUNTIF($B$6:$B$505,$C468)=0),$C468,""),"")</f>
      </c>
      <c r="X468">
        <f>IFERROR(ROUND(MAX(0,SUMIFS($D$6:$D468,$C$6:$C468,$B468,$A$6:$A468,"&lt;="&amp;$A468)*MAX(0,IFERROR(1+VLOOKUP($B468,$F$6:$I$19,4,FALSE),IFERROR(1+INDEX($U$6:$U$505,MATCH($B468,$S$6:$S$505,0)),1)))-(SUMIFS($D$6:$D468,$B$6:$B468,$B468,$A$6:$A468,"&lt;="&amp;$A468)-$D468)),2),0)</f>
      </c>
    </row>
    <row r="469" spans="1:24" x14ac:dyDescent="0.25">
      <c r="A469" s="9">
        <v>46317</v>
      </c>
      <c r="B469" s="10"/>
      <c r="C469" s="10"/>
      <c r="D469" s="11"/>
      <c r="P469">
        <f>IFERROR(IF(AND($B469&lt;&gt;"",$B469&lt;&gt;"Exterior",COUNTIF($B$6:B469,$B469)=1,COUNTIF($R$6:$R$12,$B469)=0),$B469,""),"")</f>
      </c>
      <c r="Q469">
        <f>IFERROR(IF(AND($C469&lt;&gt;"",$C469&lt;&gt;"Exterior",COUNTIF($C$6:C469,$C469)=1,COUNTIF($R$6:$R$12,$C469)=0,COUNTIF($B$6:$B$505,$C469)=0),$C469,""),"")</f>
      </c>
      <c r="X469">
        <f>IFERROR(ROUND(MAX(0,SUMIFS($D$6:$D469,$C$6:$C469,$B469,$A$6:$A469,"&lt;="&amp;$A469)*MAX(0,IFERROR(1+VLOOKUP($B469,$F$6:$I$19,4,FALSE),IFERROR(1+INDEX($U$6:$U$505,MATCH($B469,$S$6:$S$505,0)),1)))-(SUMIFS($D$6:$D469,$B$6:$B469,$B469,$A$6:$A469,"&lt;="&amp;$A469)-$D469)),2),0)</f>
      </c>
    </row>
    <row r="470" spans="1:24" x14ac:dyDescent="0.25">
      <c r="A470" s="9">
        <v>46317</v>
      </c>
      <c r="B470" s="10"/>
      <c r="C470" s="10"/>
      <c r="D470" s="11"/>
      <c r="P470">
        <f>IFERROR(IF(AND($B470&lt;&gt;"",$B470&lt;&gt;"Exterior",COUNTIF($B$6:B470,$B470)=1,COUNTIF($R$6:$R$12,$B470)=0),$B470,""),"")</f>
      </c>
      <c r="Q470">
        <f>IFERROR(IF(AND($C470&lt;&gt;"",$C470&lt;&gt;"Exterior",COUNTIF($C$6:C470,$C470)=1,COUNTIF($R$6:$R$12,$C470)=0,COUNTIF($B$6:$B$505,$C470)=0),$C470,""),"")</f>
      </c>
      <c r="X470">
        <f>IFERROR(ROUND(MAX(0,SUMIFS($D$6:$D470,$C$6:$C470,$B470,$A$6:$A470,"&lt;="&amp;$A470)*MAX(0,IFERROR(1+VLOOKUP($B470,$F$6:$I$19,4,FALSE),IFERROR(1+INDEX($U$6:$U$505,MATCH($B470,$S$6:$S$505,0)),1)))-(SUMIFS($D$6:$D470,$B$6:$B470,$B470,$A$6:$A470,"&lt;="&amp;$A470)-$D470)),2),0)</f>
      </c>
    </row>
    <row r="471" spans="1:24" x14ac:dyDescent="0.25">
      <c r="A471" s="9">
        <v>46317</v>
      </c>
      <c r="B471" s="10"/>
      <c r="C471" s="10"/>
      <c r="D471" s="11"/>
      <c r="P471">
        <f>IFERROR(IF(AND($B471&lt;&gt;"",$B471&lt;&gt;"Exterior",COUNTIF($B$6:B471,$B471)=1,COUNTIF($R$6:$R$12,$B471)=0),$B471,""),"")</f>
      </c>
      <c r="Q471">
        <f>IFERROR(IF(AND($C471&lt;&gt;"",$C471&lt;&gt;"Exterior",COUNTIF($C$6:C471,$C471)=1,COUNTIF($R$6:$R$12,$C471)=0,COUNTIF($B$6:$B$505,$C471)=0),$C471,""),"")</f>
      </c>
      <c r="X471">
        <f>IFERROR(ROUND(MAX(0,SUMIFS($D$6:$D471,$C$6:$C471,$B471,$A$6:$A471,"&lt;="&amp;$A471)*MAX(0,IFERROR(1+VLOOKUP($B471,$F$6:$I$19,4,FALSE),IFERROR(1+INDEX($U$6:$U$505,MATCH($B471,$S$6:$S$505,0)),1)))-(SUMIFS($D$6:$D471,$B$6:$B471,$B471,$A$6:$A471,"&lt;="&amp;$A471)-$D471)),2),0)</f>
      </c>
    </row>
    <row r="472" spans="1:24" x14ac:dyDescent="0.25">
      <c r="A472" s="9">
        <v>46317</v>
      </c>
      <c r="B472" s="10"/>
      <c r="C472" s="10"/>
      <c r="D472" s="11"/>
      <c r="P472">
        <f>IFERROR(IF(AND($B472&lt;&gt;"",$B472&lt;&gt;"Exterior",COUNTIF($B$6:B472,$B472)=1,COUNTIF($R$6:$R$12,$B472)=0),$B472,""),"")</f>
      </c>
      <c r="Q472">
        <f>IFERROR(IF(AND($C472&lt;&gt;"",$C472&lt;&gt;"Exterior",COUNTIF($C$6:C472,$C472)=1,COUNTIF($R$6:$R$12,$C472)=0,COUNTIF($B$6:$B$505,$C472)=0),$C472,""),"")</f>
      </c>
      <c r="X472">
        <f>IFERROR(ROUND(MAX(0,SUMIFS($D$6:$D472,$C$6:$C472,$B472,$A$6:$A472,"&lt;="&amp;$A472)*MAX(0,IFERROR(1+VLOOKUP($B472,$F$6:$I$19,4,FALSE),IFERROR(1+INDEX($U$6:$U$505,MATCH($B472,$S$6:$S$505,0)),1)))-(SUMIFS($D$6:$D472,$B$6:$B472,$B472,$A$6:$A472,"&lt;="&amp;$A472)-$D472)),2),0)</f>
      </c>
    </row>
    <row r="473" spans="1:24" x14ac:dyDescent="0.25">
      <c r="A473" s="9">
        <v>46317</v>
      </c>
      <c r="B473" s="10"/>
      <c r="C473" s="10"/>
      <c r="D473" s="11"/>
      <c r="P473">
        <f>IFERROR(IF(AND($B473&lt;&gt;"",$B473&lt;&gt;"Exterior",COUNTIF($B$6:B473,$B473)=1,COUNTIF($R$6:$R$12,$B473)=0),$B473,""),"")</f>
      </c>
      <c r="Q473">
        <f>IFERROR(IF(AND($C473&lt;&gt;"",$C473&lt;&gt;"Exterior",COUNTIF($C$6:C473,$C473)=1,COUNTIF($R$6:$R$12,$C473)=0,COUNTIF($B$6:$B$505,$C473)=0),$C473,""),"")</f>
      </c>
      <c r="X473">
        <f>IFERROR(ROUND(MAX(0,SUMIFS($D$6:$D473,$C$6:$C473,$B473,$A$6:$A473,"&lt;="&amp;$A473)*MAX(0,IFERROR(1+VLOOKUP($B473,$F$6:$I$19,4,FALSE),IFERROR(1+INDEX($U$6:$U$505,MATCH($B473,$S$6:$S$505,0)),1)))-(SUMIFS($D$6:$D473,$B$6:$B473,$B473,$A$6:$A473,"&lt;="&amp;$A473)-$D473)),2),0)</f>
      </c>
    </row>
    <row r="474" spans="1:24" x14ac:dyDescent="0.25">
      <c r="A474" s="9">
        <v>46317</v>
      </c>
      <c r="B474" s="10"/>
      <c r="C474" s="10"/>
      <c r="D474" s="11"/>
      <c r="P474">
        <f>IFERROR(IF(AND($B474&lt;&gt;"",$B474&lt;&gt;"Exterior",COUNTIF($B$6:B474,$B474)=1,COUNTIF($R$6:$R$12,$B474)=0),$B474,""),"")</f>
      </c>
      <c r="Q474">
        <f>IFERROR(IF(AND($C474&lt;&gt;"",$C474&lt;&gt;"Exterior",COUNTIF($C$6:C474,$C474)=1,COUNTIF($R$6:$R$12,$C474)=0,COUNTIF($B$6:$B$505,$C474)=0),$C474,""),"")</f>
      </c>
      <c r="X474">
        <f>IFERROR(ROUND(MAX(0,SUMIFS($D$6:$D474,$C$6:$C474,$B474,$A$6:$A474,"&lt;="&amp;$A474)*MAX(0,IFERROR(1+VLOOKUP($B474,$F$6:$I$19,4,FALSE),IFERROR(1+INDEX($U$6:$U$505,MATCH($B474,$S$6:$S$505,0)),1)))-(SUMIFS($D$6:$D474,$B$6:$B474,$B474,$A$6:$A474,"&lt;="&amp;$A474)-$D474)),2),0)</f>
      </c>
    </row>
    <row r="475" spans="1:24" x14ac:dyDescent="0.25">
      <c r="A475" s="9">
        <v>46317</v>
      </c>
      <c r="B475" s="10"/>
      <c r="C475" s="10"/>
      <c r="D475" s="11"/>
      <c r="P475">
        <f>IFERROR(IF(AND($B475&lt;&gt;"",$B475&lt;&gt;"Exterior",COUNTIF($B$6:B475,$B475)=1,COUNTIF($R$6:$R$12,$B475)=0),$B475,""),"")</f>
      </c>
      <c r="Q475">
        <f>IFERROR(IF(AND($C475&lt;&gt;"",$C475&lt;&gt;"Exterior",COUNTIF($C$6:C475,$C475)=1,COUNTIF($R$6:$R$12,$C475)=0,COUNTIF($B$6:$B$505,$C475)=0),$C475,""),"")</f>
      </c>
      <c r="X475">
        <f>IFERROR(ROUND(MAX(0,SUMIFS($D$6:$D475,$C$6:$C475,$B475,$A$6:$A475,"&lt;="&amp;$A475)*MAX(0,IFERROR(1+VLOOKUP($B475,$F$6:$I$19,4,FALSE),IFERROR(1+INDEX($U$6:$U$505,MATCH($B475,$S$6:$S$505,0)),1)))-(SUMIFS($D$6:$D475,$B$6:$B475,$B475,$A$6:$A475,"&lt;="&amp;$A475)-$D475)),2),0)</f>
      </c>
    </row>
    <row r="476" spans="1:24" x14ac:dyDescent="0.25">
      <c r="A476" s="9">
        <v>46317</v>
      </c>
      <c r="B476" s="10"/>
      <c r="C476" s="10"/>
      <c r="D476" s="11"/>
      <c r="P476">
        <f>IFERROR(IF(AND($B476&lt;&gt;"",$B476&lt;&gt;"Exterior",COUNTIF($B$6:B476,$B476)=1,COUNTIF($R$6:$R$12,$B476)=0),$B476,""),"")</f>
      </c>
      <c r="Q476">
        <f>IFERROR(IF(AND($C476&lt;&gt;"",$C476&lt;&gt;"Exterior",COUNTIF($C$6:C476,$C476)=1,COUNTIF($R$6:$R$12,$C476)=0,COUNTIF($B$6:$B$505,$C476)=0),$C476,""),"")</f>
      </c>
      <c r="X476">
        <f>IFERROR(ROUND(MAX(0,SUMIFS($D$6:$D476,$C$6:$C476,$B476,$A$6:$A476,"&lt;="&amp;$A476)*MAX(0,IFERROR(1+VLOOKUP($B476,$F$6:$I$19,4,FALSE),IFERROR(1+INDEX($U$6:$U$505,MATCH($B476,$S$6:$S$505,0)),1)))-(SUMIFS($D$6:$D476,$B$6:$B476,$B476,$A$6:$A476,"&lt;="&amp;$A476)-$D476)),2),0)</f>
      </c>
    </row>
    <row r="477" spans="1:24" x14ac:dyDescent="0.25">
      <c r="A477" s="9">
        <v>46317</v>
      </c>
      <c r="B477" s="10"/>
      <c r="C477" s="10"/>
      <c r="D477" s="11"/>
      <c r="P477">
        <f>IFERROR(IF(AND($B477&lt;&gt;"",$B477&lt;&gt;"Exterior",COUNTIF($B$6:B477,$B477)=1,COUNTIF($R$6:$R$12,$B477)=0),$B477,""),"")</f>
      </c>
      <c r="Q477">
        <f>IFERROR(IF(AND($C477&lt;&gt;"",$C477&lt;&gt;"Exterior",COUNTIF($C$6:C477,$C477)=1,COUNTIF($R$6:$R$12,$C477)=0,COUNTIF($B$6:$B$505,$C477)=0),$C477,""),"")</f>
      </c>
      <c r="X477">
        <f>IFERROR(ROUND(MAX(0,SUMIFS($D$6:$D477,$C$6:$C477,$B477,$A$6:$A477,"&lt;="&amp;$A477)*MAX(0,IFERROR(1+VLOOKUP($B477,$F$6:$I$19,4,FALSE),IFERROR(1+INDEX($U$6:$U$505,MATCH($B477,$S$6:$S$505,0)),1)))-(SUMIFS($D$6:$D477,$B$6:$B477,$B477,$A$6:$A477,"&lt;="&amp;$A477)-$D477)),2),0)</f>
      </c>
    </row>
    <row r="478" spans="1:24" x14ac:dyDescent="0.25">
      <c r="A478" s="9">
        <v>46317</v>
      </c>
      <c r="B478" s="10"/>
      <c r="C478" s="10"/>
      <c r="D478" s="11"/>
      <c r="P478">
        <f>IFERROR(IF(AND($B478&lt;&gt;"",$B478&lt;&gt;"Exterior",COUNTIF($B$6:B478,$B478)=1,COUNTIF($R$6:$R$12,$B478)=0),$B478,""),"")</f>
      </c>
      <c r="Q478">
        <f>IFERROR(IF(AND($C478&lt;&gt;"",$C478&lt;&gt;"Exterior",COUNTIF($C$6:C478,$C478)=1,COUNTIF($R$6:$R$12,$C478)=0,COUNTIF($B$6:$B$505,$C478)=0),$C478,""),"")</f>
      </c>
      <c r="X478">
        <f>IFERROR(ROUND(MAX(0,SUMIFS($D$6:$D478,$C$6:$C478,$B478,$A$6:$A478,"&lt;="&amp;$A478)*MAX(0,IFERROR(1+VLOOKUP($B478,$F$6:$I$19,4,FALSE),IFERROR(1+INDEX($U$6:$U$505,MATCH($B478,$S$6:$S$505,0)),1)))-(SUMIFS($D$6:$D478,$B$6:$B478,$B478,$A$6:$A478,"&lt;="&amp;$A478)-$D478)),2),0)</f>
      </c>
    </row>
    <row r="479" spans="1:24" x14ac:dyDescent="0.25">
      <c r="A479" s="9">
        <v>46317</v>
      </c>
      <c r="B479" s="10"/>
      <c r="C479" s="10"/>
      <c r="D479" s="11"/>
      <c r="P479">
        <f>IFERROR(IF(AND($B479&lt;&gt;"",$B479&lt;&gt;"Exterior",COUNTIF($B$6:B479,$B479)=1,COUNTIF($R$6:$R$12,$B479)=0),$B479,""),"")</f>
      </c>
      <c r="Q479">
        <f>IFERROR(IF(AND($C479&lt;&gt;"",$C479&lt;&gt;"Exterior",COUNTIF($C$6:C479,$C479)=1,COUNTIF($R$6:$R$12,$C479)=0,COUNTIF($B$6:$B$505,$C479)=0),$C479,""),"")</f>
      </c>
      <c r="X479">
        <f>IFERROR(ROUND(MAX(0,SUMIFS($D$6:$D479,$C$6:$C479,$B479,$A$6:$A479,"&lt;="&amp;$A479)*MAX(0,IFERROR(1+VLOOKUP($B479,$F$6:$I$19,4,FALSE),IFERROR(1+INDEX($U$6:$U$505,MATCH($B479,$S$6:$S$505,0)),1)))-(SUMIFS($D$6:$D479,$B$6:$B479,$B479,$A$6:$A479,"&lt;="&amp;$A479)-$D479)),2),0)</f>
      </c>
    </row>
    <row r="480" spans="1:24" x14ac:dyDescent="0.25">
      <c r="A480" s="9">
        <v>46317</v>
      </c>
      <c r="B480" s="10"/>
      <c r="C480" s="10"/>
      <c r="D480" s="11"/>
      <c r="P480">
        <f>IFERROR(IF(AND($B480&lt;&gt;"",$B480&lt;&gt;"Exterior",COUNTIF($B$6:B480,$B480)=1,COUNTIF($R$6:$R$12,$B480)=0),$B480,""),"")</f>
      </c>
      <c r="Q480">
        <f>IFERROR(IF(AND($C480&lt;&gt;"",$C480&lt;&gt;"Exterior",COUNTIF($C$6:C480,$C480)=1,COUNTIF($R$6:$R$12,$C480)=0,COUNTIF($B$6:$B$505,$C480)=0),$C480,""),"")</f>
      </c>
      <c r="X480">
        <f>IFERROR(ROUND(MAX(0,SUMIFS($D$6:$D480,$C$6:$C480,$B480,$A$6:$A480,"&lt;="&amp;$A480)*MAX(0,IFERROR(1+VLOOKUP($B480,$F$6:$I$19,4,FALSE),IFERROR(1+INDEX($U$6:$U$505,MATCH($B480,$S$6:$S$505,0)),1)))-(SUMIFS($D$6:$D480,$B$6:$B480,$B480,$A$6:$A480,"&lt;="&amp;$A480)-$D480)),2),0)</f>
      </c>
    </row>
    <row r="481" spans="1:24" x14ac:dyDescent="0.25">
      <c r="A481" s="9">
        <v>46317</v>
      </c>
      <c r="B481" s="10"/>
      <c r="C481" s="10"/>
      <c r="D481" s="11"/>
      <c r="P481">
        <f>IFERROR(IF(AND($B481&lt;&gt;"",$B481&lt;&gt;"Exterior",COUNTIF($B$6:B481,$B481)=1,COUNTIF($R$6:$R$12,$B481)=0),$B481,""),"")</f>
      </c>
      <c r="Q481">
        <f>IFERROR(IF(AND($C481&lt;&gt;"",$C481&lt;&gt;"Exterior",COUNTIF($C$6:C481,$C481)=1,COUNTIF($R$6:$R$12,$C481)=0,COUNTIF($B$6:$B$505,$C481)=0),$C481,""),"")</f>
      </c>
      <c r="X481">
        <f>IFERROR(ROUND(MAX(0,SUMIFS($D$6:$D481,$C$6:$C481,$B481,$A$6:$A481,"&lt;="&amp;$A481)*MAX(0,IFERROR(1+VLOOKUP($B481,$F$6:$I$19,4,FALSE),IFERROR(1+INDEX($U$6:$U$505,MATCH($B481,$S$6:$S$505,0)),1)))-(SUMIFS($D$6:$D481,$B$6:$B481,$B481,$A$6:$A481,"&lt;="&amp;$A481)-$D481)),2),0)</f>
      </c>
    </row>
    <row r="482" spans="1:24" x14ac:dyDescent="0.25">
      <c r="A482" s="9">
        <v>46317</v>
      </c>
      <c r="B482" s="10"/>
      <c r="C482" s="10"/>
      <c r="D482" s="11"/>
      <c r="P482">
        <f>IFERROR(IF(AND($B482&lt;&gt;"",$B482&lt;&gt;"Exterior",COUNTIF($B$6:B482,$B482)=1,COUNTIF($R$6:$R$12,$B482)=0),$B482,""),"")</f>
      </c>
      <c r="Q482">
        <f>IFERROR(IF(AND($C482&lt;&gt;"",$C482&lt;&gt;"Exterior",COUNTIF($C$6:C482,$C482)=1,COUNTIF($R$6:$R$12,$C482)=0,COUNTIF($B$6:$B$505,$C482)=0),$C482,""),"")</f>
      </c>
      <c r="X482">
        <f>IFERROR(ROUND(MAX(0,SUMIFS($D$6:$D482,$C$6:$C482,$B482,$A$6:$A482,"&lt;="&amp;$A482)*MAX(0,IFERROR(1+VLOOKUP($B482,$F$6:$I$19,4,FALSE),IFERROR(1+INDEX($U$6:$U$505,MATCH($B482,$S$6:$S$505,0)),1)))-(SUMIFS($D$6:$D482,$B$6:$B482,$B482,$A$6:$A482,"&lt;="&amp;$A482)-$D482)),2),0)</f>
      </c>
    </row>
    <row r="483" spans="1:24" x14ac:dyDescent="0.25">
      <c r="A483" s="9">
        <v>46317</v>
      </c>
      <c r="B483" s="10"/>
      <c r="C483" s="10"/>
      <c r="D483" s="11"/>
      <c r="P483">
        <f>IFERROR(IF(AND($B483&lt;&gt;"",$B483&lt;&gt;"Exterior",COUNTIF($B$6:B483,$B483)=1,COUNTIF($R$6:$R$12,$B483)=0),$B483,""),"")</f>
      </c>
      <c r="Q483">
        <f>IFERROR(IF(AND($C483&lt;&gt;"",$C483&lt;&gt;"Exterior",COUNTIF($C$6:C483,$C483)=1,COUNTIF($R$6:$R$12,$C483)=0,COUNTIF($B$6:$B$505,$C483)=0),$C483,""),"")</f>
      </c>
      <c r="X483">
        <f>IFERROR(ROUND(MAX(0,SUMIFS($D$6:$D483,$C$6:$C483,$B483,$A$6:$A483,"&lt;="&amp;$A483)*MAX(0,IFERROR(1+VLOOKUP($B483,$F$6:$I$19,4,FALSE),IFERROR(1+INDEX($U$6:$U$505,MATCH($B483,$S$6:$S$505,0)),1)))-(SUMIFS($D$6:$D483,$B$6:$B483,$B483,$A$6:$A483,"&lt;="&amp;$A483)-$D483)),2),0)</f>
      </c>
    </row>
    <row r="484" spans="1:24" x14ac:dyDescent="0.25">
      <c r="A484" s="9">
        <v>46317</v>
      </c>
      <c r="B484" s="10"/>
      <c r="C484" s="10"/>
      <c r="D484" s="11"/>
      <c r="P484">
        <f>IFERROR(IF(AND($B484&lt;&gt;"",$B484&lt;&gt;"Exterior",COUNTIF($B$6:B484,$B484)=1,COUNTIF($R$6:$R$12,$B484)=0),$B484,""),"")</f>
      </c>
      <c r="Q484">
        <f>IFERROR(IF(AND($C484&lt;&gt;"",$C484&lt;&gt;"Exterior",COUNTIF($C$6:C484,$C484)=1,COUNTIF($R$6:$R$12,$C484)=0,COUNTIF($B$6:$B$505,$C484)=0),$C484,""),"")</f>
      </c>
      <c r="X484">
        <f>IFERROR(ROUND(MAX(0,SUMIFS($D$6:$D484,$C$6:$C484,$B484,$A$6:$A484,"&lt;="&amp;$A484)*MAX(0,IFERROR(1+VLOOKUP($B484,$F$6:$I$19,4,FALSE),IFERROR(1+INDEX($U$6:$U$505,MATCH($B484,$S$6:$S$505,0)),1)))-(SUMIFS($D$6:$D484,$B$6:$B484,$B484,$A$6:$A484,"&lt;="&amp;$A484)-$D484)),2),0)</f>
      </c>
    </row>
    <row r="485" spans="1:24" x14ac:dyDescent="0.25">
      <c r="A485" s="9">
        <v>46317</v>
      </c>
      <c r="B485" s="10"/>
      <c r="C485" s="10"/>
      <c r="D485" s="11"/>
      <c r="P485">
        <f>IFERROR(IF(AND($B485&lt;&gt;"",$B485&lt;&gt;"Exterior",COUNTIF($B$6:B485,$B485)=1,COUNTIF($R$6:$R$12,$B485)=0),$B485,""),"")</f>
      </c>
      <c r="Q485">
        <f>IFERROR(IF(AND($C485&lt;&gt;"",$C485&lt;&gt;"Exterior",COUNTIF($C$6:C485,$C485)=1,COUNTIF($R$6:$R$12,$C485)=0,COUNTIF($B$6:$B$505,$C485)=0),$C485,""),"")</f>
      </c>
      <c r="X485">
        <f>IFERROR(ROUND(MAX(0,SUMIFS($D$6:$D485,$C$6:$C485,$B485,$A$6:$A485,"&lt;="&amp;$A485)*MAX(0,IFERROR(1+VLOOKUP($B485,$F$6:$I$19,4,FALSE),IFERROR(1+INDEX($U$6:$U$505,MATCH($B485,$S$6:$S$505,0)),1)))-(SUMIFS($D$6:$D485,$B$6:$B485,$B485,$A$6:$A485,"&lt;="&amp;$A485)-$D485)),2),0)</f>
      </c>
    </row>
    <row r="486" spans="1:24" x14ac:dyDescent="0.25">
      <c r="A486" s="9">
        <v>46317</v>
      </c>
      <c r="B486" s="10"/>
      <c r="C486" s="10"/>
      <c r="D486" s="11"/>
      <c r="P486">
        <f>IFERROR(IF(AND($B486&lt;&gt;"",$B486&lt;&gt;"Exterior",COUNTIF($B$6:B486,$B486)=1,COUNTIF($R$6:$R$12,$B486)=0),$B486,""),"")</f>
      </c>
      <c r="Q486">
        <f>IFERROR(IF(AND($C486&lt;&gt;"",$C486&lt;&gt;"Exterior",COUNTIF($C$6:C486,$C486)=1,COUNTIF($R$6:$R$12,$C486)=0,COUNTIF($B$6:$B$505,$C486)=0),$C486,""),"")</f>
      </c>
      <c r="X486">
        <f>IFERROR(ROUND(MAX(0,SUMIFS($D$6:$D486,$C$6:$C486,$B486,$A$6:$A486,"&lt;="&amp;$A486)*MAX(0,IFERROR(1+VLOOKUP($B486,$F$6:$I$19,4,FALSE),IFERROR(1+INDEX($U$6:$U$505,MATCH($B486,$S$6:$S$505,0)),1)))-(SUMIFS($D$6:$D486,$B$6:$B486,$B486,$A$6:$A486,"&lt;="&amp;$A486)-$D486)),2),0)</f>
      </c>
    </row>
    <row r="487" spans="1:24" x14ac:dyDescent="0.25">
      <c r="A487" s="9">
        <v>46317</v>
      </c>
      <c r="B487" s="10"/>
      <c r="C487" s="10"/>
      <c r="D487" s="11"/>
      <c r="P487">
        <f>IFERROR(IF(AND($B487&lt;&gt;"",$B487&lt;&gt;"Exterior",COUNTIF($B$6:B487,$B487)=1,COUNTIF($R$6:$R$12,$B487)=0),$B487,""),"")</f>
      </c>
      <c r="Q487">
        <f>IFERROR(IF(AND($C487&lt;&gt;"",$C487&lt;&gt;"Exterior",COUNTIF($C$6:C487,$C487)=1,COUNTIF($R$6:$R$12,$C487)=0,COUNTIF($B$6:$B$505,$C487)=0),$C487,""),"")</f>
      </c>
      <c r="X487">
        <f>IFERROR(ROUND(MAX(0,SUMIFS($D$6:$D487,$C$6:$C487,$B487,$A$6:$A487,"&lt;="&amp;$A487)*MAX(0,IFERROR(1+VLOOKUP($B487,$F$6:$I$19,4,FALSE),IFERROR(1+INDEX($U$6:$U$505,MATCH($B487,$S$6:$S$505,0)),1)))-(SUMIFS($D$6:$D487,$B$6:$B487,$B487,$A$6:$A487,"&lt;="&amp;$A487)-$D487)),2),0)</f>
      </c>
    </row>
    <row r="488" spans="1:24" x14ac:dyDescent="0.25">
      <c r="A488" s="9">
        <v>46317</v>
      </c>
      <c r="B488" s="10"/>
      <c r="C488" s="10"/>
      <c r="D488" s="11"/>
      <c r="P488">
        <f>IFERROR(IF(AND($B488&lt;&gt;"",$B488&lt;&gt;"Exterior",COUNTIF($B$6:B488,$B488)=1,COUNTIF($R$6:$R$12,$B488)=0),$B488,""),"")</f>
      </c>
      <c r="Q488">
        <f>IFERROR(IF(AND($C488&lt;&gt;"",$C488&lt;&gt;"Exterior",COUNTIF($C$6:C488,$C488)=1,COUNTIF($R$6:$R$12,$C488)=0,COUNTIF($B$6:$B$505,$C488)=0),$C488,""),"")</f>
      </c>
      <c r="X488">
        <f>IFERROR(ROUND(MAX(0,SUMIFS($D$6:$D488,$C$6:$C488,$B488,$A$6:$A488,"&lt;="&amp;$A488)*MAX(0,IFERROR(1+VLOOKUP($B488,$F$6:$I$19,4,FALSE),IFERROR(1+INDEX($U$6:$U$505,MATCH($B488,$S$6:$S$505,0)),1)))-(SUMIFS($D$6:$D488,$B$6:$B488,$B488,$A$6:$A488,"&lt;="&amp;$A488)-$D488)),2),0)</f>
      </c>
    </row>
    <row r="489" spans="1:24" x14ac:dyDescent="0.25">
      <c r="A489" s="9">
        <v>46317</v>
      </c>
      <c r="B489" s="10"/>
      <c r="C489" s="10"/>
      <c r="D489" s="11"/>
      <c r="P489">
        <f>IFERROR(IF(AND($B489&lt;&gt;"",$B489&lt;&gt;"Exterior",COUNTIF($B$6:B489,$B489)=1,COUNTIF($R$6:$R$12,$B489)=0),$B489,""),"")</f>
      </c>
      <c r="Q489">
        <f>IFERROR(IF(AND($C489&lt;&gt;"",$C489&lt;&gt;"Exterior",COUNTIF($C$6:C489,$C489)=1,COUNTIF($R$6:$R$12,$C489)=0,COUNTIF($B$6:$B$505,$C489)=0),$C489,""),"")</f>
      </c>
      <c r="X489">
        <f>IFERROR(ROUND(MAX(0,SUMIFS($D$6:$D489,$C$6:$C489,$B489,$A$6:$A489,"&lt;="&amp;$A489)*MAX(0,IFERROR(1+VLOOKUP($B489,$F$6:$I$19,4,FALSE),IFERROR(1+INDEX($U$6:$U$505,MATCH($B489,$S$6:$S$505,0)),1)))-(SUMIFS($D$6:$D489,$B$6:$B489,$B489,$A$6:$A489,"&lt;="&amp;$A489)-$D489)),2),0)</f>
      </c>
    </row>
    <row r="490" spans="1:24" x14ac:dyDescent="0.25">
      <c r="A490" s="9">
        <v>46317</v>
      </c>
      <c r="B490" s="10"/>
      <c r="C490" s="10"/>
      <c r="D490" s="11"/>
      <c r="P490">
        <f>IFERROR(IF(AND($B490&lt;&gt;"",$B490&lt;&gt;"Exterior",COUNTIF($B$6:B490,$B490)=1,COUNTIF($R$6:$R$12,$B490)=0),$B490,""),"")</f>
      </c>
      <c r="Q490">
        <f>IFERROR(IF(AND($C490&lt;&gt;"",$C490&lt;&gt;"Exterior",COUNTIF($C$6:C490,$C490)=1,COUNTIF($R$6:$R$12,$C490)=0,COUNTIF($B$6:$B$505,$C490)=0),$C490,""),"")</f>
      </c>
      <c r="X490">
        <f>IFERROR(ROUND(MAX(0,SUMIFS($D$6:$D490,$C$6:$C490,$B490,$A$6:$A490,"&lt;="&amp;$A490)*MAX(0,IFERROR(1+VLOOKUP($B490,$F$6:$I$19,4,FALSE),IFERROR(1+INDEX($U$6:$U$505,MATCH($B490,$S$6:$S$505,0)),1)))-(SUMIFS($D$6:$D490,$B$6:$B490,$B490,$A$6:$A490,"&lt;="&amp;$A490)-$D490)),2),0)</f>
      </c>
    </row>
    <row r="491" spans="1:24" x14ac:dyDescent="0.25">
      <c r="A491" s="9">
        <v>46317</v>
      </c>
      <c r="B491" s="10"/>
      <c r="C491" s="10"/>
      <c r="D491" s="11"/>
      <c r="P491">
        <f>IFERROR(IF(AND($B491&lt;&gt;"",$B491&lt;&gt;"Exterior",COUNTIF($B$6:B491,$B491)=1,COUNTIF($R$6:$R$12,$B491)=0),$B491,""),"")</f>
      </c>
      <c r="Q491">
        <f>IFERROR(IF(AND($C491&lt;&gt;"",$C491&lt;&gt;"Exterior",COUNTIF($C$6:C491,$C491)=1,COUNTIF($R$6:$R$12,$C491)=0,COUNTIF($B$6:$B$505,$C491)=0),$C491,""),"")</f>
      </c>
      <c r="X491">
        <f>IFERROR(ROUND(MAX(0,SUMIFS($D$6:$D491,$C$6:$C491,$B491,$A$6:$A491,"&lt;="&amp;$A491)*MAX(0,IFERROR(1+VLOOKUP($B491,$F$6:$I$19,4,FALSE),IFERROR(1+INDEX($U$6:$U$505,MATCH($B491,$S$6:$S$505,0)),1)))-(SUMIFS($D$6:$D491,$B$6:$B491,$B491,$A$6:$A491,"&lt;="&amp;$A491)-$D491)),2),0)</f>
      </c>
    </row>
    <row r="492" spans="1:24" x14ac:dyDescent="0.25">
      <c r="A492" s="9">
        <v>46317</v>
      </c>
      <c r="B492" s="10"/>
      <c r="C492" s="10"/>
      <c r="D492" s="11"/>
      <c r="P492">
        <f>IFERROR(IF(AND($B492&lt;&gt;"",$B492&lt;&gt;"Exterior",COUNTIF($B$6:B492,$B492)=1,COUNTIF($R$6:$R$12,$B492)=0),$B492,""),"")</f>
      </c>
      <c r="Q492">
        <f>IFERROR(IF(AND($C492&lt;&gt;"",$C492&lt;&gt;"Exterior",COUNTIF($C$6:C492,$C492)=1,COUNTIF($R$6:$R$12,$C492)=0,COUNTIF($B$6:$B$505,$C492)=0),$C492,""),"")</f>
      </c>
      <c r="X492">
        <f>IFERROR(ROUND(MAX(0,SUMIFS($D$6:$D492,$C$6:$C492,$B492,$A$6:$A492,"&lt;="&amp;$A492)*MAX(0,IFERROR(1+VLOOKUP($B492,$F$6:$I$19,4,FALSE),IFERROR(1+INDEX($U$6:$U$505,MATCH($B492,$S$6:$S$505,0)),1)))-(SUMIFS($D$6:$D492,$B$6:$B492,$B492,$A$6:$A492,"&lt;="&amp;$A492)-$D492)),2),0)</f>
      </c>
    </row>
    <row r="493" spans="1:24" x14ac:dyDescent="0.25">
      <c r="A493" s="9">
        <v>46317</v>
      </c>
      <c r="B493" s="10"/>
      <c r="C493" s="10"/>
      <c r="D493" s="11"/>
      <c r="P493">
        <f>IFERROR(IF(AND($B493&lt;&gt;"",$B493&lt;&gt;"Exterior",COUNTIF($B$6:B493,$B493)=1,COUNTIF($R$6:$R$12,$B493)=0),$B493,""),"")</f>
      </c>
      <c r="Q493">
        <f>IFERROR(IF(AND($C493&lt;&gt;"",$C493&lt;&gt;"Exterior",COUNTIF($C$6:C493,$C493)=1,COUNTIF($R$6:$R$12,$C493)=0,COUNTIF($B$6:$B$505,$C493)=0),$C493,""),"")</f>
      </c>
      <c r="X493">
        <f>IFERROR(ROUND(MAX(0,SUMIFS($D$6:$D493,$C$6:$C493,$B493,$A$6:$A493,"&lt;="&amp;$A493)*MAX(0,IFERROR(1+VLOOKUP($B493,$F$6:$I$19,4,FALSE),IFERROR(1+INDEX($U$6:$U$505,MATCH($B493,$S$6:$S$505,0)),1)))-(SUMIFS($D$6:$D493,$B$6:$B493,$B493,$A$6:$A493,"&lt;="&amp;$A493)-$D493)),2),0)</f>
      </c>
    </row>
    <row r="494" spans="1:24" x14ac:dyDescent="0.25">
      <c r="A494" s="9">
        <v>46317</v>
      </c>
      <c r="B494" s="10"/>
      <c r="C494" s="10"/>
      <c r="D494" s="11"/>
      <c r="P494">
        <f>IFERROR(IF(AND($B494&lt;&gt;"",$B494&lt;&gt;"Exterior",COUNTIF($B$6:B494,$B494)=1,COUNTIF($R$6:$R$12,$B494)=0),$B494,""),"")</f>
      </c>
      <c r="Q494">
        <f>IFERROR(IF(AND($C494&lt;&gt;"",$C494&lt;&gt;"Exterior",COUNTIF($C$6:C494,$C494)=1,COUNTIF($R$6:$R$12,$C494)=0,COUNTIF($B$6:$B$505,$C494)=0),$C494,""),"")</f>
      </c>
      <c r="X494">
        <f>IFERROR(ROUND(MAX(0,SUMIFS($D$6:$D494,$C$6:$C494,$B494,$A$6:$A494,"&lt;="&amp;$A494)*MAX(0,IFERROR(1+VLOOKUP($B494,$F$6:$I$19,4,FALSE),IFERROR(1+INDEX($U$6:$U$505,MATCH($B494,$S$6:$S$505,0)),1)))-(SUMIFS($D$6:$D494,$B$6:$B494,$B494,$A$6:$A494,"&lt;="&amp;$A494)-$D494)),2),0)</f>
      </c>
    </row>
    <row r="495" spans="1:24" x14ac:dyDescent="0.25">
      <c r="A495" s="9">
        <v>46317</v>
      </c>
      <c r="B495" s="10"/>
      <c r="C495" s="10"/>
      <c r="D495" s="11"/>
      <c r="P495">
        <f>IFERROR(IF(AND($B495&lt;&gt;"",$B495&lt;&gt;"Exterior",COUNTIF($B$6:B495,$B495)=1,COUNTIF($R$6:$R$12,$B495)=0),$B495,""),"")</f>
      </c>
      <c r="Q495">
        <f>IFERROR(IF(AND($C495&lt;&gt;"",$C495&lt;&gt;"Exterior",COUNTIF($C$6:C495,$C495)=1,COUNTIF($R$6:$R$12,$C495)=0,COUNTIF($B$6:$B$505,$C495)=0),$C495,""),"")</f>
      </c>
      <c r="X495">
        <f>IFERROR(ROUND(MAX(0,SUMIFS($D$6:$D495,$C$6:$C495,$B495,$A$6:$A495,"&lt;="&amp;$A495)*MAX(0,IFERROR(1+VLOOKUP($B495,$F$6:$I$19,4,FALSE),IFERROR(1+INDEX($U$6:$U$505,MATCH($B495,$S$6:$S$505,0)),1)))-(SUMIFS($D$6:$D495,$B$6:$B495,$B495,$A$6:$A495,"&lt;="&amp;$A495)-$D495)),2),0)</f>
      </c>
    </row>
    <row r="496" spans="1:24" x14ac:dyDescent="0.25">
      <c r="A496" s="9">
        <v>46317</v>
      </c>
      <c r="B496" s="10"/>
      <c r="C496" s="10"/>
      <c r="D496" s="11"/>
      <c r="P496">
        <f>IFERROR(IF(AND($B496&lt;&gt;"",$B496&lt;&gt;"Exterior",COUNTIF($B$6:B496,$B496)=1,COUNTIF($R$6:$R$12,$B496)=0),$B496,""),"")</f>
      </c>
      <c r="Q496">
        <f>IFERROR(IF(AND($C496&lt;&gt;"",$C496&lt;&gt;"Exterior",COUNTIF($C$6:C496,$C496)=1,COUNTIF($R$6:$R$12,$C496)=0,COUNTIF($B$6:$B$505,$C496)=0),$C496,""),"")</f>
      </c>
      <c r="X496">
        <f>IFERROR(ROUND(MAX(0,SUMIFS($D$6:$D496,$C$6:$C496,$B496,$A$6:$A496,"&lt;="&amp;$A496)*MAX(0,IFERROR(1+VLOOKUP($B496,$F$6:$I$19,4,FALSE),IFERROR(1+INDEX($U$6:$U$505,MATCH($B496,$S$6:$S$505,0)),1)))-(SUMIFS($D$6:$D496,$B$6:$B496,$B496,$A$6:$A496,"&lt;="&amp;$A496)-$D496)),2),0)</f>
      </c>
    </row>
    <row r="497" spans="1:24" x14ac:dyDescent="0.25">
      <c r="A497" s="9">
        <v>46317</v>
      </c>
      <c r="B497" s="10"/>
      <c r="C497" s="10"/>
      <c r="D497" s="11"/>
      <c r="P497">
        <f>IFERROR(IF(AND($B497&lt;&gt;"",$B497&lt;&gt;"Exterior",COUNTIF($B$6:B497,$B497)=1,COUNTIF($R$6:$R$12,$B497)=0),$B497,""),"")</f>
      </c>
      <c r="Q497">
        <f>IFERROR(IF(AND($C497&lt;&gt;"",$C497&lt;&gt;"Exterior",COUNTIF($C$6:C497,$C497)=1,COUNTIF($R$6:$R$12,$C497)=0,COUNTIF($B$6:$B$505,$C497)=0),$C497,""),"")</f>
      </c>
      <c r="X497">
        <f>IFERROR(ROUND(MAX(0,SUMIFS($D$6:$D497,$C$6:$C497,$B497,$A$6:$A497,"&lt;="&amp;$A497)*MAX(0,IFERROR(1+VLOOKUP($B497,$F$6:$I$19,4,FALSE),IFERROR(1+INDEX($U$6:$U$505,MATCH($B497,$S$6:$S$505,0)),1)))-(SUMIFS($D$6:$D497,$B$6:$B497,$B497,$A$6:$A497,"&lt;="&amp;$A497)-$D497)),2),0)</f>
      </c>
    </row>
    <row r="498" spans="1:24" x14ac:dyDescent="0.25">
      <c r="A498" s="9">
        <v>46317</v>
      </c>
      <c r="B498" s="10"/>
      <c r="C498" s="10"/>
      <c r="D498" s="11"/>
      <c r="P498">
        <f>IFERROR(IF(AND($B498&lt;&gt;"",$B498&lt;&gt;"Exterior",COUNTIF($B$6:B498,$B498)=1,COUNTIF($R$6:$R$12,$B498)=0),$B498,""),"")</f>
      </c>
      <c r="Q498">
        <f>IFERROR(IF(AND($C498&lt;&gt;"",$C498&lt;&gt;"Exterior",COUNTIF($C$6:C498,$C498)=1,COUNTIF($R$6:$R$12,$C498)=0,COUNTIF($B$6:$B$505,$C498)=0),$C498,""),"")</f>
      </c>
      <c r="X498">
        <f>IFERROR(ROUND(MAX(0,SUMIFS($D$6:$D498,$C$6:$C498,$B498,$A$6:$A498,"&lt;="&amp;$A498)*MAX(0,IFERROR(1+VLOOKUP($B498,$F$6:$I$19,4,FALSE),IFERROR(1+INDEX($U$6:$U$505,MATCH($B498,$S$6:$S$505,0)),1)))-(SUMIFS($D$6:$D498,$B$6:$B498,$B498,$A$6:$A498,"&lt;="&amp;$A498)-$D498)),2),0)</f>
      </c>
    </row>
    <row r="499" spans="1:24" x14ac:dyDescent="0.25">
      <c r="A499" s="9">
        <v>46317</v>
      </c>
      <c r="B499" s="10"/>
      <c r="C499" s="10"/>
      <c r="D499" s="11"/>
      <c r="P499">
        <f>IFERROR(IF(AND($B499&lt;&gt;"",$B499&lt;&gt;"Exterior",COUNTIF($B$6:B499,$B499)=1,COUNTIF($R$6:$R$12,$B499)=0),$B499,""),"")</f>
      </c>
      <c r="Q499">
        <f>IFERROR(IF(AND($C499&lt;&gt;"",$C499&lt;&gt;"Exterior",COUNTIF($C$6:C499,$C499)=1,COUNTIF($R$6:$R$12,$C499)=0,COUNTIF($B$6:$B$505,$C499)=0),$C499,""),"")</f>
      </c>
      <c r="X499">
        <f>IFERROR(ROUND(MAX(0,SUMIFS($D$6:$D499,$C$6:$C499,$B499,$A$6:$A499,"&lt;="&amp;$A499)*MAX(0,IFERROR(1+VLOOKUP($B499,$F$6:$I$19,4,FALSE),IFERROR(1+INDEX($U$6:$U$505,MATCH($B499,$S$6:$S$505,0)),1)))-(SUMIFS($D$6:$D499,$B$6:$B499,$B499,$A$6:$A499,"&lt;="&amp;$A499)-$D499)),2),0)</f>
      </c>
    </row>
    <row r="500" spans="1:24" x14ac:dyDescent="0.25">
      <c r="A500" s="9">
        <v>46317</v>
      </c>
      <c r="B500" s="10"/>
      <c r="C500" s="10"/>
      <c r="D500" s="11"/>
      <c r="P500">
        <f>IFERROR(IF(AND($B500&lt;&gt;"",$B500&lt;&gt;"Exterior",COUNTIF($B$6:B500,$B500)=1,COUNTIF($R$6:$R$12,$B500)=0),$B500,""),"")</f>
      </c>
      <c r="Q500">
        <f>IFERROR(IF(AND($C500&lt;&gt;"",$C500&lt;&gt;"Exterior",COUNTIF($C$6:C500,$C500)=1,COUNTIF($R$6:$R$12,$C500)=0,COUNTIF($B$6:$B$505,$C500)=0),$C500,""),"")</f>
      </c>
      <c r="X500">
        <f>IFERROR(ROUND(MAX(0,SUMIFS($D$6:$D500,$C$6:$C500,$B500,$A$6:$A500,"&lt;="&amp;$A500)*MAX(0,IFERROR(1+VLOOKUP($B500,$F$6:$I$19,4,FALSE),IFERROR(1+INDEX($U$6:$U$505,MATCH($B500,$S$6:$S$505,0)),1)))-(SUMIFS($D$6:$D500,$B$6:$B500,$B500,$A$6:$A500,"&lt;="&amp;$A500)-$D500)),2),0)</f>
      </c>
    </row>
    <row r="501" spans="1:24" x14ac:dyDescent="0.25">
      <c r="A501" s="9">
        <v>46317</v>
      </c>
      <c r="B501" s="10"/>
      <c r="C501" s="10"/>
      <c r="D501" s="11"/>
      <c r="P501">
        <f>IFERROR(IF(AND($B501&lt;&gt;"",$B501&lt;&gt;"Exterior",COUNTIF($B$6:B501,$B501)=1,COUNTIF($R$6:$R$12,$B501)=0),$B501,""),"")</f>
      </c>
      <c r="Q501">
        <f>IFERROR(IF(AND($C501&lt;&gt;"",$C501&lt;&gt;"Exterior",COUNTIF($C$6:C501,$C501)=1,COUNTIF($R$6:$R$12,$C501)=0,COUNTIF($B$6:$B$505,$C501)=0),$C501,""),"")</f>
      </c>
      <c r="X501">
        <f>IFERROR(ROUND(MAX(0,SUMIFS($D$6:$D501,$C$6:$C501,$B501,$A$6:$A501,"&lt;="&amp;$A501)*MAX(0,IFERROR(1+VLOOKUP($B501,$F$6:$I$19,4,FALSE),IFERROR(1+INDEX($U$6:$U$505,MATCH($B501,$S$6:$S$505,0)),1)))-(SUMIFS($D$6:$D501,$B$6:$B501,$B501,$A$6:$A501,"&lt;="&amp;$A501)-$D501)),2),0)</f>
      </c>
    </row>
    <row r="502" spans="1:24" x14ac:dyDescent="0.25">
      <c r="A502" s="9">
        <v>46317</v>
      </c>
      <c r="B502" s="10"/>
      <c r="C502" s="10"/>
      <c r="D502" s="11"/>
      <c r="P502">
        <f>IFERROR(IF(AND($B502&lt;&gt;"",$B502&lt;&gt;"Exterior",COUNTIF($B$6:B502,$B502)=1,COUNTIF($R$6:$R$12,$B502)=0),$B502,""),"")</f>
      </c>
      <c r="Q502">
        <f>IFERROR(IF(AND($C502&lt;&gt;"",$C502&lt;&gt;"Exterior",COUNTIF($C$6:C502,$C502)=1,COUNTIF($R$6:$R$12,$C502)=0,COUNTIF($B$6:$B$505,$C502)=0),$C502,""),"")</f>
      </c>
      <c r="X502">
        <f>IFERROR(ROUND(MAX(0,SUMIFS($D$6:$D502,$C$6:$C502,$B502,$A$6:$A502,"&lt;="&amp;$A502)*MAX(0,IFERROR(1+VLOOKUP($B502,$F$6:$I$19,4,FALSE),IFERROR(1+INDEX($U$6:$U$505,MATCH($B502,$S$6:$S$505,0)),1)))-(SUMIFS($D$6:$D502,$B$6:$B502,$B502,$A$6:$A502,"&lt;="&amp;$A502)-$D502)),2),0)</f>
      </c>
    </row>
    <row r="503" spans="1:24" x14ac:dyDescent="0.25">
      <c r="A503" s="9">
        <v>46317</v>
      </c>
      <c r="B503" s="10"/>
      <c r="C503" s="10"/>
      <c r="D503" s="11"/>
      <c r="P503">
        <f>IFERROR(IF(AND($B503&lt;&gt;"",$B503&lt;&gt;"Exterior",COUNTIF($B$6:B503,$B503)=1,COUNTIF($R$6:$R$12,$B503)=0),$B503,""),"")</f>
      </c>
      <c r="Q503">
        <f>IFERROR(IF(AND($C503&lt;&gt;"",$C503&lt;&gt;"Exterior",COUNTIF($C$6:C503,$C503)=1,COUNTIF($R$6:$R$12,$C503)=0,COUNTIF($B$6:$B$505,$C503)=0),$C503,""),"")</f>
      </c>
      <c r="X503">
        <f>IFERROR(ROUND(MAX(0,SUMIFS($D$6:$D503,$C$6:$C503,$B503,$A$6:$A503,"&lt;="&amp;$A503)*MAX(0,IFERROR(1+VLOOKUP($B503,$F$6:$I$19,4,FALSE),IFERROR(1+INDEX($U$6:$U$505,MATCH($B503,$S$6:$S$505,0)),1)))-(SUMIFS($D$6:$D503,$B$6:$B503,$B503,$A$6:$A503,"&lt;="&amp;$A503)-$D503)),2),0)</f>
      </c>
    </row>
    <row r="504" spans="1:24" x14ac:dyDescent="0.25">
      <c r="A504" s="9">
        <v>46317</v>
      </c>
      <c r="B504" s="10"/>
      <c r="C504" s="10"/>
      <c r="D504" s="11"/>
      <c r="P504">
        <f>IFERROR(IF(AND($B504&lt;&gt;"",$B504&lt;&gt;"Exterior",COUNTIF($B$6:B504,$B504)=1,COUNTIF($R$6:$R$12,$B504)=0),$B504,""),"")</f>
      </c>
      <c r="Q504">
        <f>IFERROR(IF(AND($C504&lt;&gt;"",$C504&lt;&gt;"Exterior",COUNTIF($C$6:C504,$C504)=1,COUNTIF($R$6:$R$12,$C504)=0,COUNTIF($B$6:$B$505,$C504)=0),$C504,""),"")</f>
      </c>
      <c r="X504">
        <f>IFERROR(ROUND(MAX(0,SUMIFS($D$6:$D504,$C$6:$C504,$B504,$A$6:$A504,"&lt;="&amp;$A504)*MAX(0,IFERROR(1+VLOOKUP($B504,$F$6:$I$19,4,FALSE),IFERROR(1+INDEX($U$6:$U$505,MATCH($B504,$S$6:$S$505,0)),1)))-(SUMIFS($D$6:$D504,$B$6:$B504,$B504,$A$6:$A504,"&lt;="&amp;$A504)-$D504)),2),0)</f>
      </c>
    </row>
    <row r="505" spans="1:24" x14ac:dyDescent="0.25">
      <c r="A505" s="9">
        <v>46317</v>
      </c>
      <c r="B505" s="10"/>
      <c r="C505" s="10"/>
      <c r="D505" s="11"/>
      <c r="P505">
        <f>IFERROR(IF(AND($B505&lt;&gt;"",$B505&lt;&gt;"Exterior",COUNTIF($B$6:B505,$B505)=1,COUNTIF($R$6:$R$12,$B505)=0),$B505,""),"")</f>
      </c>
      <c r="Q505">
        <f>IFERROR(IF(AND($C505&lt;&gt;"",$C505&lt;&gt;"Exterior",COUNTIF($C$6:C505,$C505)=1,COUNTIF($R$6:$R$12,$C505)=0,COUNTIF($B$6:$B$505,$C505)=0),$C505,""),"")</f>
      </c>
      <c r="X505">
        <f>IFERROR(ROUND(MAX(0,SUMIFS($D$6:$D505,$C$6:$C505,$B505,$A$6:$A505,"&lt;="&amp;$A505)*MAX(0,IFERROR(1+VLOOKUP($B505,$F$6:$I$19,4,FALSE),IFERROR(1+INDEX($U$6:$U$505,MATCH($B505,$S$6:$S$505,0)),1)))-(SUMIFS($D$6:$D505,$B$6:$B505,$B505,$A$6:$A505,"&lt;="&amp;$A505)-$D505)),2),0)</f>
      </c>
    </row>
  </sheetData>
  <sheetProtection sheet="1" objects="0" scenarios="0" selectLockedCells="0" selectUnlockedCells="0" formatCells="0" formatRows="0" insertRows="0" deleteRows="0"/>
  <mergeCells count="8">
    <mergeCell ref="A1:K1"/>
    <mergeCell ref="A2:D3"/>
    <mergeCell ref="H2:I2"/>
    <mergeCell ref="F3:K3"/>
    <mergeCell ref="A4:D4"/>
    <mergeCell ref="F4:K4"/>
    <mergeCell ref="A25:K25"/>
    <mergeCell ref="A26:K26"/>
  </mergeCells>
  <conditionalFormatting sqref="A6:D505">
    <cfRule type="expression" dxfId="0" priority="2">
      <formula>AND($D5&lt;&gt;"",$D6="")</formula>
    </cfRule>
    <cfRule type="expression" dxfId="1" priority="3">
      <formula>$D5&lt;&gt;""</formula>
    </cfRule>
    <cfRule type="expression" dxfId="2" priority="4">
      <formula>$D5=""</formula>
    </cfRule>
  </conditionalFormatting>
  <conditionalFormatting sqref="F13:K19">
    <cfRule type="expression" dxfId="3" priority="1">
      <formula>$F13&lt;&gt;""</formula>
    </cfRule>
    <cfRule type="expression" dxfId="4" priority="2">
      <formula>AND($F12&lt;&gt;"",$F13="")</formula>
    </cfRule>
    <cfRule type="expression" dxfId="5" priority="3">
      <formula>$F12=""</formula>
    </cfRule>
  </conditionalFormatting>
  <conditionalFormatting sqref="I7:I12">
    <cfRule type="expression" dxfId="6" priority="4">
      <formula>AND($F7&lt;&gt;"",$H7&lt;&gt;"")</formula>
    </cfRule>
  </conditionalFormatting>
  <conditionalFormatting sqref="I13:I19">
    <cfRule type="expression" dxfId="7" priority="4">
      <formula>$F13&lt;&gt;""</formula>
    </cfRule>
    <cfRule type="expression" dxfId="8" priority="5">
      <formula>AND($F12&lt;&gt;"",$F13="")</formula>
    </cfRule>
  </conditionalFormatting>
  <conditionalFormatting sqref="F7:K12">
    <cfRule type="expression" dxfId="9" priority="1">
      <formula>$H7=""</formula>
    </cfRule>
  </conditionalFormatting>
  <conditionalFormatting sqref="F9:F19">
    <cfRule type="expression" dxfId="10" priority="6">
      <formula>AND($F9&lt;&gt;"",$G9="Luis")</formula>
    </cfRule>
    <cfRule type="expression" dxfId="11" priority="7">
      <formula>AND($F9&lt;&gt;"",$G9="Fondo ahorro")</formula>
    </cfRule>
  </conditionalFormatting>
  <conditionalFormatting sqref="I6:J19">
    <cfRule type="cellIs" dxfId="12" priority="4" operator="greaterThan">
      <formula>0</formula>
    </cfRule>
    <cfRule type="cellIs" dxfId="13" priority="5" operator="lessThan">
      <formula>0</formula>
    </cfRule>
  </conditionalFormatting>
  <dataValidations count="3">
    <dataValidation type="list" allowBlank="1" sqref="B6:B505">
      <formula1>ListaNombres</formula1>
    </dataValidation>
    <dataValidation type="list" allowBlank="1" sqref="C6:C505">
      <formula1>ListaNombres</formula1>
    </dataValidation>
    <dataValidation type="custom" allowBlank="1" showErrorMessage="1" errorStyle="stop" errorTitle="No hay tanto dinero" error="En la cuenta o inversión de la que sale el dinero no queda tanto. Escribe un importe más pequeño o mete antes el dinero desde el Exterior." sqref="D6:D505">
      <formula1>OR($D6=0,AND(ISNUMBER($A6),$D6&gt;0,OR($B6="Exterior",$D6&lt;=$X6)))</formula1>
    </dataValidation>
  </dataValidations>
  <pageMargins left="0.3" right="0.3" top="0.4" bottom="0.4" header="0" footer="0"/>
  <pageSetup paperSize="9" orientation="landscape" horizontalDpi="4294967295" verticalDpi="4294967295" scale="100" fitToWidth="1" fitToHeight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1D4ED8"/>
    <pageSetUpPr fitToPage="1"/>
  </sheetPr>
  <dimension ref="A1:O25"/>
  <sheetViews>
    <sheetView workbookViewId="0" showGridLines="0"/>
  </sheetViews>
  <sheetFormatPr defaultRowHeight="15" outlineLevelRow="0" outlineLevelCol="0" x14ac:dyDescent="55"/>
  <cols>
    <col min="1" max="15" width="15" customWidth="1"/>
  </cols>
  <sheetData>
    <row r="1" ht="20" customHeight="1" spans="1:15" x14ac:dyDescent="0.25">
      <c r="A1" s="37" t="s">
        <v>34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</row>
    <row r="2" ht="20" customHeight="1" spans="1:15" x14ac:dyDescent="0.25">
      <c r="A2" s="5" t="s">
        <v>35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ht="20" customHeight="1" x14ac:dyDescent="0.25"/>
    <row r="4" ht="20" customHeight="1" x14ac:dyDescent="0.25"/>
    <row r="5" ht="20" customHeight="1" x14ac:dyDescent="0.25"/>
    <row r="6" ht="20" customHeight="1" x14ac:dyDescent="0.25"/>
    <row r="7" ht="20" customHeight="1" x14ac:dyDescent="0.25"/>
    <row r="8" ht="20" customHeight="1" x14ac:dyDescent="0.25"/>
    <row r="9" ht="20" customHeight="1" x14ac:dyDescent="0.25"/>
    <row r="10" ht="20" customHeight="1" x14ac:dyDescent="0.25"/>
    <row r="11" ht="20" customHeight="1" x14ac:dyDescent="0.25"/>
    <row r="12" ht="20" customHeight="1" x14ac:dyDescent="0.25"/>
    <row r="13" ht="20" customHeight="1" x14ac:dyDescent="0.25"/>
    <row r="14" ht="20" customHeight="1" x14ac:dyDescent="0.25"/>
    <row r="15" ht="20" customHeight="1" x14ac:dyDescent="0.25"/>
    <row r="16" ht="20" customHeight="1" x14ac:dyDescent="0.25"/>
    <row r="17" ht="20" customHeight="1" x14ac:dyDescent="0.25"/>
    <row r="18" ht="20" customHeight="1" x14ac:dyDescent="0.25"/>
    <row r="19" ht="20" customHeight="1" x14ac:dyDescent="0.25"/>
    <row r="20" ht="20" customHeight="1" spans="2:14" x14ac:dyDescent="0.25">
      <c r="B20" s="38" t="s">
        <v>36</v>
      </c>
      <c r="C20" s="38"/>
      <c r="D20" s="38"/>
      <c r="E20" s="38"/>
      <c r="F20" s="38"/>
      <c r="J20" s="38" t="s">
        <v>36</v>
      </c>
      <c r="K20" s="38"/>
      <c r="L20" s="38"/>
      <c r="M20" s="38"/>
      <c r="N20" s="38"/>
    </row>
    <row r="21" ht="20" customHeight="1" spans="2:14" x14ac:dyDescent="0.25">
      <c r="B21" s="39" t="s">
        <v>37</v>
      </c>
      <c r="C21" s="39"/>
      <c r="D21" s="39"/>
      <c r="E21" s="39"/>
      <c r="F21" s="39"/>
      <c r="J21" s="39" t="s">
        <v>37</v>
      </c>
      <c r="K21" s="39"/>
      <c r="L21" s="39"/>
      <c r="M21" s="39"/>
      <c r="N21" s="39"/>
    </row>
    <row r="22" ht="20" customHeight="1" spans="2:14" x14ac:dyDescent="0.25">
      <c r="B22" s="40" t="s">
        <v>38</v>
      </c>
      <c r="C22" s="40"/>
      <c r="D22" s="40"/>
      <c r="E22" s="40"/>
      <c r="F22" s="40"/>
      <c r="J22" s="40" t="s">
        <v>38</v>
      </c>
      <c r="K22" s="40"/>
      <c r="L22" s="40"/>
      <c r="M22" s="40"/>
      <c r="N22" s="40"/>
    </row>
    <row r="23" ht="20" customHeight="1" x14ac:dyDescent="0.25"/>
    <row r="24" ht="20" customHeight="1" x14ac:dyDescent="0.25"/>
    <row r="25" ht="20" customHeight="1" x14ac:dyDescent="0.25"/>
  </sheetData>
  <mergeCells count="8">
    <mergeCell ref="A1:O1"/>
    <mergeCell ref="A2:O2"/>
    <mergeCell ref="B20:F20"/>
    <mergeCell ref="J20:N20"/>
    <mergeCell ref="B21:F21"/>
    <mergeCell ref="J21:N21"/>
    <mergeCell ref="B22:F22"/>
    <mergeCell ref="J22:N22"/>
  </mergeCells>
  <pageMargins left="0.3" right="0.3" top="0.4" bottom="0.4" header="0" footer="0"/>
  <pageSetup paperSize="9" orientation="landscape" horizontalDpi="4294967295" verticalDpi="4294967295" scale="100" fitToWidth="1" fitToHeight="1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Movimientos</vt:lpstr>
      <vt:lpstr>Gráficos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 Inversiones</dc:creator>
  <dc:title/>
  <dc:subject/>
  <dc:description/>
  <cp:keywords/>
  <cp:category/>
  <cp:lastModifiedBy>Unknown</cp:lastModifiedBy>
  <dcterms:created xsi:type="dcterms:W3CDTF">2026-10-23T09:31:33Z</dcterms:created>
  <dcterms:modified xsi:type="dcterms:W3CDTF">2026-10-23T09:31:33Z</dcterms:modified>
</cp:coreProperties>
</file>